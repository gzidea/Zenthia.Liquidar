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\Sistemas\Salary\YiZi.LiquidAR\"/>
    </mc:Choice>
  </mc:AlternateContent>
  <bookViews>
    <workbookView xWindow="360" yWindow="1035" windowWidth="19425" windowHeight="6855" tabRatio="597"/>
  </bookViews>
  <sheets>
    <sheet name="DETERMINACION" sheetId="2" r:id="rId1"/>
    <sheet name="NO REM." sheetId="5" r:id="rId2"/>
    <sheet name="Hoja1" sheetId="6" r:id="rId3"/>
    <sheet name="SAC" sheetId="7" r:id="rId4"/>
    <sheet name="Hoja2" sheetId="8" r:id="rId5"/>
  </sheets>
  <externalReferences>
    <externalReference r:id="rId6"/>
  </externalReferences>
  <definedNames>
    <definedName name="_xlnm._FilterDatabase" localSheetId="0" hidden="1">DETERMINACION!$A$1:$CR$90</definedName>
  </definedNames>
  <calcPr calcId="162913"/>
</workbook>
</file>

<file path=xl/calcChain.xml><?xml version="1.0" encoding="utf-8"?>
<calcChain xmlns="http://schemas.openxmlformats.org/spreadsheetml/2006/main">
  <c r="CT47" i="2" l="1"/>
  <c r="CU47" i="2"/>
  <c r="CU28" i="2"/>
  <c r="CQ28" i="2"/>
  <c r="CU7" i="2"/>
  <c r="CW7" i="2"/>
  <c r="CS28" i="2" l="1"/>
  <c r="BM61" i="2" l="1"/>
  <c r="BM28" i="2"/>
  <c r="BM25" i="2"/>
  <c r="BM24" i="2"/>
  <c r="BO64" i="2" l="1"/>
  <c r="BO63" i="2"/>
  <c r="BO62" i="2"/>
  <c r="BO61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48" i="2"/>
  <c r="BO47" i="2"/>
  <c r="BO46" i="2"/>
  <c r="BO45" i="2"/>
  <c r="BO44" i="2"/>
  <c r="BO43" i="2"/>
  <c r="BO42" i="2"/>
  <c r="BO38" i="2"/>
  <c r="BO37" i="2"/>
  <c r="BO36" i="2"/>
  <c r="BO35" i="2"/>
  <c r="BO34" i="2"/>
  <c r="BO33" i="2"/>
  <c r="BO32" i="2"/>
  <c r="BO31" i="2"/>
  <c r="BO30" i="2"/>
  <c r="BO29" i="2"/>
  <c r="BO28" i="2"/>
  <c r="BO27" i="2"/>
  <c r="BO26" i="2"/>
  <c r="BO25" i="2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8" i="2"/>
  <c r="BO7" i="2"/>
  <c r="P57" i="7" l="1"/>
  <c r="Q57" i="7" s="1"/>
  <c r="K49" i="7" l="1"/>
  <c r="L49" i="7" s="1"/>
  <c r="M49" i="7" s="1"/>
  <c r="O49" i="7" s="1"/>
  <c r="K45" i="7"/>
  <c r="L45" i="7" s="1"/>
  <c r="M45" i="7" s="1"/>
  <c r="O45" i="7" s="1"/>
  <c r="K40" i="7"/>
  <c r="L40" i="7" s="1"/>
  <c r="M40" i="7" s="1"/>
  <c r="O40" i="7" s="1"/>
  <c r="K31" i="7"/>
  <c r="L31" i="7" s="1"/>
  <c r="M31" i="7" s="1"/>
  <c r="O31" i="7" s="1"/>
  <c r="K11" i="7"/>
  <c r="L11" i="7" s="1"/>
  <c r="M11" i="7" s="1"/>
  <c r="O11" i="7" s="1"/>
  <c r="K34" i="7"/>
  <c r="L34" i="7" s="1"/>
  <c r="M34" i="7" s="1"/>
  <c r="O34" i="7" s="1"/>
  <c r="K30" i="7"/>
  <c r="L30" i="7" s="1"/>
  <c r="M30" i="7" s="1"/>
  <c r="O30" i="7" s="1"/>
  <c r="K28" i="7"/>
  <c r="L28" i="7" s="1"/>
  <c r="M28" i="7" s="1"/>
  <c r="O28" i="7" s="1"/>
  <c r="K23" i="7"/>
  <c r="L23" i="7" s="1"/>
  <c r="M23" i="7" s="1"/>
  <c r="O23" i="7" s="1"/>
  <c r="K20" i="7"/>
  <c r="L20" i="7" s="1"/>
  <c r="M20" i="7" s="1"/>
  <c r="O20" i="7" s="1"/>
  <c r="K14" i="7"/>
  <c r="L14" i="7" s="1"/>
  <c r="M14" i="7" s="1"/>
  <c r="O14" i="7" s="1"/>
  <c r="D56" i="7"/>
  <c r="E56" i="7" s="1"/>
  <c r="D55" i="7"/>
  <c r="E55" i="7" s="1"/>
  <c r="D54" i="7"/>
  <c r="E54" i="7" s="1"/>
  <c r="D53" i="7"/>
  <c r="E53" i="7" s="1"/>
  <c r="D52" i="7"/>
  <c r="E52" i="7" s="1"/>
  <c r="D51" i="7"/>
  <c r="E51" i="7" s="1"/>
  <c r="D50" i="7"/>
  <c r="E50" i="7" s="1"/>
  <c r="D49" i="7"/>
  <c r="E49" i="7" s="1"/>
  <c r="R49" i="7" s="1"/>
  <c r="S49" i="7" s="1"/>
  <c r="T49" i="7" s="1"/>
  <c r="U49" i="7" s="1"/>
  <c r="V49" i="7" s="1"/>
  <c r="D48" i="7"/>
  <c r="E48" i="7" s="1"/>
  <c r="D47" i="7"/>
  <c r="E47" i="7" s="1"/>
  <c r="D46" i="7"/>
  <c r="E46" i="7" s="1"/>
  <c r="D45" i="7"/>
  <c r="E45" i="7" s="1"/>
  <c r="R45" i="7" s="1"/>
  <c r="S45" i="7" s="1"/>
  <c r="T45" i="7" s="1"/>
  <c r="U45" i="7" s="1"/>
  <c r="V45" i="7" s="1"/>
  <c r="D44" i="7"/>
  <c r="E44" i="7" s="1"/>
  <c r="D43" i="7"/>
  <c r="E43" i="7" s="1"/>
  <c r="D42" i="7"/>
  <c r="E42" i="7" s="1"/>
  <c r="D41" i="7"/>
  <c r="E41" i="7" s="1"/>
  <c r="D40" i="7"/>
  <c r="E40" i="7" s="1"/>
  <c r="R40" i="7" s="1"/>
  <c r="S40" i="7" s="1"/>
  <c r="T40" i="7" s="1"/>
  <c r="U40" i="7" s="1"/>
  <c r="V40" i="7" s="1"/>
  <c r="D39" i="7"/>
  <c r="E39" i="7" s="1"/>
  <c r="D38" i="7"/>
  <c r="E38" i="7" s="1"/>
  <c r="D37" i="7"/>
  <c r="E37" i="7" s="1"/>
  <c r="D36" i="7"/>
  <c r="E36" i="7" s="1"/>
  <c r="D35" i="7"/>
  <c r="E35" i="7" s="1"/>
  <c r="D34" i="7"/>
  <c r="E34" i="7" s="1"/>
  <c r="R34" i="7" s="1"/>
  <c r="S34" i="7" s="1"/>
  <c r="T34" i="7" s="1"/>
  <c r="U34" i="7" s="1"/>
  <c r="V34" i="7" s="1"/>
  <c r="D33" i="7"/>
  <c r="E33" i="7" s="1"/>
  <c r="D32" i="7"/>
  <c r="E32" i="7" s="1"/>
  <c r="D31" i="7"/>
  <c r="E31" i="7" s="1"/>
  <c r="R31" i="7" s="1"/>
  <c r="S31" i="7" s="1"/>
  <c r="T31" i="7" s="1"/>
  <c r="U31" i="7" s="1"/>
  <c r="V31" i="7" s="1"/>
  <c r="D30" i="7"/>
  <c r="E30" i="7" s="1"/>
  <c r="R30" i="7" s="1"/>
  <c r="S30" i="7" s="1"/>
  <c r="T30" i="7" s="1"/>
  <c r="U30" i="7" s="1"/>
  <c r="V30" i="7" s="1"/>
  <c r="D29" i="7"/>
  <c r="E29" i="7" s="1"/>
  <c r="D28" i="7"/>
  <c r="E28" i="7" s="1"/>
  <c r="R28" i="7" s="1"/>
  <c r="S28" i="7" s="1"/>
  <c r="T28" i="7" s="1"/>
  <c r="U28" i="7" s="1"/>
  <c r="V28" i="7" s="1"/>
  <c r="D27" i="7"/>
  <c r="E27" i="7" s="1"/>
  <c r="D26" i="7"/>
  <c r="E26" i="7" s="1"/>
  <c r="D25" i="7"/>
  <c r="E25" i="7" s="1"/>
  <c r="D24" i="7"/>
  <c r="E24" i="7" s="1"/>
  <c r="D23" i="7"/>
  <c r="E23" i="7" s="1"/>
  <c r="R23" i="7" s="1"/>
  <c r="S23" i="7" s="1"/>
  <c r="T23" i="7" s="1"/>
  <c r="U23" i="7" s="1"/>
  <c r="V23" i="7" s="1"/>
  <c r="D22" i="7"/>
  <c r="E22" i="7" s="1"/>
  <c r="D21" i="7"/>
  <c r="E21" i="7" s="1"/>
  <c r="D20" i="7"/>
  <c r="E20" i="7" s="1"/>
  <c r="R20" i="7" s="1"/>
  <c r="S20" i="7" s="1"/>
  <c r="T20" i="7" s="1"/>
  <c r="U20" i="7" s="1"/>
  <c r="V20" i="7" s="1"/>
  <c r="D19" i="7"/>
  <c r="E19" i="7" s="1"/>
  <c r="D18" i="7"/>
  <c r="E18" i="7" s="1"/>
  <c r="D17" i="7"/>
  <c r="E17" i="7" s="1"/>
  <c r="D16" i="7"/>
  <c r="E16" i="7" s="1"/>
  <c r="D15" i="7"/>
  <c r="E15" i="7" s="1"/>
  <c r="D14" i="7"/>
  <c r="E14" i="7" s="1"/>
  <c r="R14" i="7" s="1"/>
  <c r="S14" i="7" s="1"/>
  <c r="T14" i="7" s="1"/>
  <c r="U14" i="7" s="1"/>
  <c r="V14" i="7" s="1"/>
  <c r="D13" i="7"/>
  <c r="E13" i="7" s="1"/>
  <c r="D12" i="7"/>
  <c r="E12" i="7" s="1"/>
  <c r="D11" i="7"/>
  <c r="E11" i="7" s="1"/>
  <c r="R11" i="7" s="1"/>
  <c r="S11" i="7" s="1"/>
  <c r="T11" i="7" s="1"/>
  <c r="U11" i="7" s="1"/>
  <c r="V11" i="7" s="1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3" i="7"/>
  <c r="E3" i="7" s="1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P28" i="7" l="1"/>
  <c r="Q28" i="7" s="1"/>
  <c r="P31" i="7"/>
  <c r="Q31" i="7" s="1"/>
  <c r="P14" i="7"/>
  <c r="Q14" i="7"/>
  <c r="P30" i="7"/>
  <c r="Q30" i="7"/>
  <c r="P40" i="7"/>
  <c r="Q40" i="7" s="1"/>
  <c r="P20" i="7"/>
  <c r="Q20" i="7" s="1"/>
  <c r="CL39" i="2"/>
  <c r="P34" i="7"/>
  <c r="Q34" i="7"/>
  <c r="Q45" i="7"/>
  <c r="P45" i="7"/>
  <c r="P23" i="7"/>
  <c r="Q23" i="7"/>
  <c r="P11" i="7"/>
  <c r="Q11" i="7" s="1"/>
  <c r="P49" i="7"/>
  <c r="Q49" i="7"/>
  <c r="K4" i="7"/>
  <c r="L4" i="7" s="1"/>
  <c r="M4" i="7" s="1"/>
  <c r="O4" i="7" s="1"/>
  <c r="R4" i="7"/>
  <c r="S4" i="7" s="1"/>
  <c r="T4" i="7" s="1"/>
  <c r="U4" i="7" s="1"/>
  <c r="V4" i="7" s="1"/>
  <c r="K6" i="7"/>
  <c r="L6" i="7" s="1"/>
  <c r="M6" i="7" s="1"/>
  <c r="O6" i="7" s="1"/>
  <c r="R6" i="7"/>
  <c r="S6" i="7" s="1"/>
  <c r="T6" i="7" s="1"/>
  <c r="U6" i="7" s="1"/>
  <c r="V6" i="7" s="1"/>
  <c r="K8" i="7"/>
  <c r="L8" i="7" s="1"/>
  <c r="M8" i="7" s="1"/>
  <c r="O8" i="7" s="1"/>
  <c r="R8" i="7"/>
  <c r="S8" i="7" s="1"/>
  <c r="T8" i="7" s="1"/>
  <c r="U8" i="7" s="1"/>
  <c r="V8" i="7" s="1"/>
  <c r="K10" i="7"/>
  <c r="L10" i="7" s="1"/>
  <c r="M10" i="7" s="1"/>
  <c r="O10" i="7" s="1"/>
  <c r="R10" i="7"/>
  <c r="S10" i="7" s="1"/>
  <c r="T10" i="7" s="1"/>
  <c r="U10" i="7" s="1"/>
  <c r="V10" i="7" s="1"/>
  <c r="K12" i="7"/>
  <c r="L12" i="7" s="1"/>
  <c r="M12" i="7" s="1"/>
  <c r="O12" i="7" s="1"/>
  <c r="R12" i="7"/>
  <c r="S12" i="7" s="1"/>
  <c r="T12" i="7" s="1"/>
  <c r="U12" i="7" s="1"/>
  <c r="V12" i="7" s="1"/>
  <c r="K22" i="7"/>
  <c r="L22" i="7" s="1"/>
  <c r="M22" i="7" s="1"/>
  <c r="O22" i="7" s="1"/>
  <c r="R22" i="7"/>
  <c r="S22" i="7" s="1"/>
  <c r="T22" i="7" s="1"/>
  <c r="U22" i="7" s="1"/>
  <c r="V22" i="7" s="1"/>
  <c r="K24" i="7"/>
  <c r="L24" i="7" s="1"/>
  <c r="M24" i="7" s="1"/>
  <c r="O24" i="7" s="1"/>
  <c r="R24" i="7"/>
  <c r="S24" i="7" s="1"/>
  <c r="T24" i="7" s="1"/>
  <c r="U24" i="7" s="1"/>
  <c r="V24" i="7" s="1"/>
  <c r="K32" i="7"/>
  <c r="L32" i="7" s="1"/>
  <c r="M32" i="7" s="1"/>
  <c r="O32" i="7" s="1"/>
  <c r="R32" i="7"/>
  <c r="S32" i="7" s="1"/>
  <c r="T32" i="7" s="1"/>
  <c r="U32" i="7" s="1"/>
  <c r="V32" i="7" s="1"/>
  <c r="K36" i="7"/>
  <c r="L36" i="7" s="1"/>
  <c r="M36" i="7" s="1"/>
  <c r="O36" i="7" s="1"/>
  <c r="R36" i="7"/>
  <c r="S36" i="7" s="1"/>
  <c r="T36" i="7" s="1"/>
  <c r="U36" i="7" s="1"/>
  <c r="V36" i="7" s="1"/>
  <c r="K3" i="7"/>
  <c r="L3" i="7" s="1"/>
  <c r="M3" i="7" s="1"/>
  <c r="O3" i="7" s="1"/>
  <c r="R3" i="7"/>
  <c r="S3" i="7" s="1"/>
  <c r="T3" i="7" s="1"/>
  <c r="U3" i="7" s="1"/>
  <c r="V3" i="7" s="1"/>
  <c r="K5" i="7"/>
  <c r="L5" i="7" s="1"/>
  <c r="M5" i="7" s="1"/>
  <c r="O5" i="7" s="1"/>
  <c r="R5" i="7"/>
  <c r="S5" i="7" s="1"/>
  <c r="T5" i="7" s="1"/>
  <c r="U5" i="7" s="1"/>
  <c r="V5" i="7" s="1"/>
  <c r="K7" i="7"/>
  <c r="L7" i="7" s="1"/>
  <c r="M7" i="7" s="1"/>
  <c r="O7" i="7" s="1"/>
  <c r="R7" i="7"/>
  <c r="S7" i="7" s="1"/>
  <c r="T7" i="7" s="1"/>
  <c r="U7" i="7" s="1"/>
  <c r="V7" i="7" s="1"/>
  <c r="K9" i="7"/>
  <c r="L9" i="7" s="1"/>
  <c r="M9" i="7" s="1"/>
  <c r="O9" i="7" s="1"/>
  <c r="R9" i="7"/>
  <c r="S9" i="7" s="1"/>
  <c r="T9" i="7" s="1"/>
  <c r="U9" i="7" s="1"/>
  <c r="V9" i="7" s="1"/>
  <c r="K13" i="7"/>
  <c r="L13" i="7" s="1"/>
  <c r="M13" i="7" s="1"/>
  <c r="O13" i="7" s="1"/>
  <c r="R13" i="7"/>
  <c r="S13" i="7" s="1"/>
  <c r="T13" i="7" s="1"/>
  <c r="U13" i="7" s="1"/>
  <c r="V13" i="7" s="1"/>
  <c r="K15" i="7"/>
  <c r="L15" i="7" s="1"/>
  <c r="M15" i="7" s="1"/>
  <c r="O15" i="7" s="1"/>
  <c r="R15" i="7"/>
  <c r="S15" i="7" s="1"/>
  <c r="T15" i="7" s="1"/>
  <c r="U15" i="7" s="1"/>
  <c r="V15" i="7" s="1"/>
  <c r="K17" i="7"/>
  <c r="L17" i="7" s="1"/>
  <c r="M17" i="7" s="1"/>
  <c r="O17" i="7" s="1"/>
  <c r="R17" i="7"/>
  <c r="S17" i="7" s="1"/>
  <c r="T17" i="7" s="1"/>
  <c r="U17" i="7" s="1"/>
  <c r="V17" i="7" s="1"/>
  <c r="K19" i="7"/>
  <c r="L19" i="7" s="1"/>
  <c r="M19" i="7" s="1"/>
  <c r="O19" i="7" s="1"/>
  <c r="R19" i="7"/>
  <c r="S19" i="7" s="1"/>
  <c r="T19" i="7" s="1"/>
  <c r="U19" i="7" s="1"/>
  <c r="V19" i="7" s="1"/>
  <c r="K21" i="7"/>
  <c r="L21" i="7" s="1"/>
  <c r="M21" i="7" s="1"/>
  <c r="O21" i="7" s="1"/>
  <c r="R21" i="7"/>
  <c r="S21" i="7" s="1"/>
  <c r="T21" i="7" s="1"/>
  <c r="U21" i="7" s="1"/>
  <c r="V21" i="7" s="1"/>
  <c r="K25" i="7"/>
  <c r="L25" i="7" s="1"/>
  <c r="M25" i="7" s="1"/>
  <c r="O25" i="7" s="1"/>
  <c r="R25" i="7"/>
  <c r="S25" i="7" s="1"/>
  <c r="T25" i="7" s="1"/>
  <c r="U25" i="7" s="1"/>
  <c r="V25" i="7" s="1"/>
  <c r="K27" i="7"/>
  <c r="L27" i="7" s="1"/>
  <c r="M27" i="7" s="1"/>
  <c r="O27" i="7" s="1"/>
  <c r="R27" i="7"/>
  <c r="S27" i="7" s="1"/>
  <c r="T27" i="7" s="1"/>
  <c r="U27" i="7" s="1"/>
  <c r="V27" i="7" s="1"/>
  <c r="K29" i="7"/>
  <c r="L29" i="7" s="1"/>
  <c r="M29" i="7" s="1"/>
  <c r="O29" i="7" s="1"/>
  <c r="R29" i="7"/>
  <c r="S29" i="7" s="1"/>
  <c r="T29" i="7" s="1"/>
  <c r="U29" i="7" s="1"/>
  <c r="V29" i="7" s="1"/>
  <c r="K33" i="7"/>
  <c r="L33" i="7" s="1"/>
  <c r="M33" i="7" s="1"/>
  <c r="O33" i="7" s="1"/>
  <c r="R33" i="7"/>
  <c r="S33" i="7" s="1"/>
  <c r="T33" i="7" s="1"/>
  <c r="U33" i="7" s="1"/>
  <c r="V33" i="7" s="1"/>
  <c r="K35" i="7"/>
  <c r="L35" i="7" s="1"/>
  <c r="M35" i="7" s="1"/>
  <c r="O35" i="7" s="1"/>
  <c r="R35" i="7"/>
  <c r="S35" i="7" s="1"/>
  <c r="T35" i="7" s="1"/>
  <c r="U35" i="7" s="1"/>
  <c r="V35" i="7" s="1"/>
  <c r="K37" i="7"/>
  <c r="L37" i="7" s="1"/>
  <c r="M37" i="7" s="1"/>
  <c r="O37" i="7" s="1"/>
  <c r="R37" i="7"/>
  <c r="S37" i="7" s="1"/>
  <c r="T37" i="7" s="1"/>
  <c r="U37" i="7" s="1"/>
  <c r="V37" i="7" s="1"/>
  <c r="K16" i="7"/>
  <c r="L16" i="7" s="1"/>
  <c r="M16" i="7" s="1"/>
  <c r="O16" i="7" s="1"/>
  <c r="R16" i="7"/>
  <c r="S16" i="7" s="1"/>
  <c r="T16" i="7" s="1"/>
  <c r="U16" i="7" s="1"/>
  <c r="V16" i="7" s="1"/>
  <c r="K18" i="7"/>
  <c r="L18" i="7" s="1"/>
  <c r="M18" i="7" s="1"/>
  <c r="O18" i="7" s="1"/>
  <c r="R18" i="7"/>
  <c r="S18" i="7" s="1"/>
  <c r="T18" i="7" s="1"/>
  <c r="U18" i="7" s="1"/>
  <c r="V18" i="7" s="1"/>
  <c r="K26" i="7"/>
  <c r="L26" i="7" s="1"/>
  <c r="M26" i="7" s="1"/>
  <c r="O26" i="7" s="1"/>
  <c r="R26" i="7"/>
  <c r="S26" i="7" s="1"/>
  <c r="T26" i="7" s="1"/>
  <c r="U26" i="7" s="1"/>
  <c r="V26" i="7" s="1"/>
  <c r="K38" i="7"/>
  <c r="L38" i="7" s="1"/>
  <c r="M38" i="7" s="1"/>
  <c r="O38" i="7" s="1"/>
  <c r="R38" i="7"/>
  <c r="S38" i="7" s="1"/>
  <c r="T38" i="7" s="1"/>
  <c r="U38" i="7" s="1"/>
  <c r="V38" i="7" s="1"/>
  <c r="K42" i="7"/>
  <c r="L42" i="7" s="1"/>
  <c r="M42" i="7" s="1"/>
  <c r="O42" i="7" s="1"/>
  <c r="R42" i="7"/>
  <c r="S42" i="7" s="1"/>
  <c r="T42" i="7" s="1"/>
  <c r="U42" i="7" s="1"/>
  <c r="V42" i="7" s="1"/>
  <c r="K44" i="7"/>
  <c r="L44" i="7" s="1"/>
  <c r="M44" i="7" s="1"/>
  <c r="O44" i="7" s="1"/>
  <c r="R44" i="7"/>
  <c r="S44" i="7" s="1"/>
  <c r="T44" i="7" s="1"/>
  <c r="U44" i="7" s="1"/>
  <c r="V44" i="7" s="1"/>
  <c r="K46" i="7"/>
  <c r="L46" i="7" s="1"/>
  <c r="M46" i="7" s="1"/>
  <c r="O46" i="7" s="1"/>
  <c r="R46" i="7"/>
  <c r="S46" i="7" s="1"/>
  <c r="T46" i="7" s="1"/>
  <c r="U46" i="7" s="1"/>
  <c r="V46" i="7" s="1"/>
  <c r="K48" i="7"/>
  <c r="L48" i="7" s="1"/>
  <c r="M48" i="7" s="1"/>
  <c r="O48" i="7" s="1"/>
  <c r="R48" i="7"/>
  <c r="S48" i="7" s="1"/>
  <c r="T48" i="7" s="1"/>
  <c r="U48" i="7" s="1"/>
  <c r="V48" i="7" s="1"/>
  <c r="K50" i="7"/>
  <c r="L50" i="7" s="1"/>
  <c r="M50" i="7" s="1"/>
  <c r="O50" i="7" s="1"/>
  <c r="R50" i="7"/>
  <c r="S50" i="7" s="1"/>
  <c r="T50" i="7" s="1"/>
  <c r="U50" i="7" s="1"/>
  <c r="V50" i="7" s="1"/>
  <c r="K52" i="7"/>
  <c r="L52" i="7" s="1"/>
  <c r="M52" i="7" s="1"/>
  <c r="O52" i="7" s="1"/>
  <c r="R52" i="7"/>
  <c r="S52" i="7" s="1"/>
  <c r="T52" i="7" s="1"/>
  <c r="U52" i="7" s="1"/>
  <c r="V52" i="7" s="1"/>
  <c r="K54" i="7"/>
  <c r="L54" i="7" s="1"/>
  <c r="M54" i="7" s="1"/>
  <c r="O54" i="7" s="1"/>
  <c r="R54" i="7"/>
  <c r="S54" i="7" s="1"/>
  <c r="T54" i="7" s="1"/>
  <c r="U54" i="7" s="1"/>
  <c r="V54" i="7" s="1"/>
  <c r="K56" i="7"/>
  <c r="L56" i="7" s="1"/>
  <c r="M56" i="7" s="1"/>
  <c r="O56" i="7" s="1"/>
  <c r="R56" i="7"/>
  <c r="S56" i="7" s="1"/>
  <c r="T56" i="7" s="1"/>
  <c r="U56" i="7" s="1"/>
  <c r="V56" i="7" s="1"/>
  <c r="K39" i="7"/>
  <c r="L39" i="7" s="1"/>
  <c r="M39" i="7" s="1"/>
  <c r="O39" i="7" s="1"/>
  <c r="R39" i="7"/>
  <c r="S39" i="7" s="1"/>
  <c r="T39" i="7" s="1"/>
  <c r="U39" i="7" s="1"/>
  <c r="V39" i="7" s="1"/>
  <c r="K41" i="7"/>
  <c r="L41" i="7" s="1"/>
  <c r="M41" i="7" s="1"/>
  <c r="O41" i="7" s="1"/>
  <c r="R41" i="7"/>
  <c r="S41" i="7" s="1"/>
  <c r="T41" i="7" s="1"/>
  <c r="U41" i="7" s="1"/>
  <c r="V41" i="7" s="1"/>
  <c r="K43" i="7"/>
  <c r="L43" i="7" s="1"/>
  <c r="M43" i="7" s="1"/>
  <c r="O43" i="7" s="1"/>
  <c r="R43" i="7"/>
  <c r="S43" i="7" s="1"/>
  <c r="T43" i="7" s="1"/>
  <c r="U43" i="7" s="1"/>
  <c r="V43" i="7" s="1"/>
  <c r="K47" i="7"/>
  <c r="L47" i="7" s="1"/>
  <c r="M47" i="7" s="1"/>
  <c r="O47" i="7" s="1"/>
  <c r="R47" i="7"/>
  <c r="S47" i="7" s="1"/>
  <c r="T47" i="7" s="1"/>
  <c r="U47" i="7" s="1"/>
  <c r="V47" i="7" s="1"/>
  <c r="K51" i="7"/>
  <c r="L51" i="7" s="1"/>
  <c r="M51" i="7" s="1"/>
  <c r="O51" i="7" s="1"/>
  <c r="R51" i="7"/>
  <c r="S51" i="7" s="1"/>
  <c r="T51" i="7" s="1"/>
  <c r="U51" i="7" s="1"/>
  <c r="V51" i="7" s="1"/>
  <c r="K53" i="7"/>
  <c r="L53" i="7" s="1"/>
  <c r="M53" i="7" s="1"/>
  <c r="O53" i="7" s="1"/>
  <c r="R53" i="7"/>
  <c r="S53" i="7" s="1"/>
  <c r="T53" i="7" s="1"/>
  <c r="U53" i="7" s="1"/>
  <c r="V53" i="7" s="1"/>
  <c r="K55" i="7"/>
  <c r="L55" i="7" s="1"/>
  <c r="M55" i="7" s="1"/>
  <c r="O55" i="7" s="1"/>
  <c r="R55" i="7"/>
  <c r="S55" i="7" s="1"/>
  <c r="T55" i="7" s="1"/>
  <c r="U55" i="7" s="1"/>
  <c r="V55" i="7" s="1"/>
  <c r="P51" i="7" l="1"/>
  <c r="Q51" i="7"/>
  <c r="P54" i="7"/>
  <c r="Q54" i="7"/>
  <c r="P35" i="7"/>
  <c r="Q35" i="7"/>
  <c r="P5" i="7"/>
  <c r="Q5" i="7" s="1"/>
  <c r="P41" i="7"/>
  <c r="Q41" i="7" s="1"/>
  <c r="P38" i="7"/>
  <c r="Q38" i="7"/>
  <c r="P13" i="7"/>
  <c r="Q13" i="7"/>
  <c r="P55" i="7"/>
  <c r="Q55" i="7" s="1"/>
  <c r="P43" i="7"/>
  <c r="Q43" i="7" s="1"/>
  <c r="P39" i="7"/>
  <c r="Q39" i="7"/>
  <c r="P50" i="7"/>
  <c r="Q50" i="7"/>
  <c r="P46" i="7"/>
  <c r="Q46" i="7"/>
  <c r="P42" i="7"/>
  <c r="Q42" i="7"/>
  <c r="P26" i="7"/>
  <c r="Q26" i="7"/>
  <c r="P16" i="7"/>
  <c r="Q16" i="7" s="1"/>
  <c r="P29" i="7"/>
  <c r="Q29" i="7" s="1"/>
  <c r="P25" i="7"/>
  <c r="Q25" i="7"/>
  <c r="P19" i="7"/>
  <c r="Q19" i="7"/>
  <c r="P15" i="7"/>
  <c r="Q15" i="7" s="1"/>
  <c r="P9" i="7"/>
  <c r="Q9" i="7" s="1"/>
  <c r="P36" i="7"/>
  <c r="Q36" i="7" s="1"/>
  <c r="P24" i="7"/>
  <c r="Q24" i="7" s="1"/>
  <c r="P12" i="7"/>
  <c r="Q12" i="7" s="1"/>
  <c r="P8" i="7"/>
  <c r="Q8" i="7" s="1"/>
  <c r="P4" i="7"/>
  <c r="Q4" i="7" s="1"/>
  <c r="P53" i="7"/>
  <c r="Q53" i="7" s="1"/>
  <c r="P47" i="7"/>
  <c r="Q47" i="7"/>
  <c r="P56" i="7"/>
  <c r="Q56" i="7" s="1"/>
  <c r="P52" i="7"/>
  <c r="Q52" i="7" s="1"/>
  <c r="P48" i="7"/>
  <c r="Q48" i="7" s="1"/>
  <c r="P44" i="7"/>
  <c r="Q44" i="7" s="1"/>
  <c r="P18" i="7"/>
  <c r="Q18" i="7"/>
  <c r="P37" i="7"/>
  <c r="Q37" i="7"/>
  <c r="P33" i="7"/>
  <c r="Q33" i="7" s="1"/>
  <c r="P27" i="7"/>
  <c r="Q27" i="7"/>
  <c r="P21" i="7"/>
  <c r="Q21" i="7" s="1"/>
  <c r="P17" i="7"/>
  <c r="Q17" i="7" s="1"/>
  <c r="P7" i="7"/>
  <c r="Q7" i="7"/>
  <c r="P3" i="7"/>
  <c r="Q3" i="7" s="1"/>
  <c r="P32" i="7"/>
  <c r="Q32" i="7" s="1"/>
  <c r="P22" i="7"/>
  <c r="Q22" i="7"/>
  <c r="P10" i="7"/>
  <c r="Q10" i="7"/>
  <c r="P6" i="7"/>
  <c r="Q6" i="7"/>
  <c r="CN59" i="2"/>
  <c r="CN60" i="2"/>
  <c r="CN61" i="2"/>
  <c r="CN62" i="2"/>
  <c r="CN63" i="2"/>
  <c r="CN64" i="2"/>
  <c r="CJ59" i="2"/>
  <c r="CJ60" i="2"/>
  <c r="CJ61" i="2"/>
  <c r="CJ62" i="2"/>
  <c r="CJ63" i="2"/>
  <c r="CJ64" i="2"/>
  <c r="CF59" i="2"/>
  <c r="CF60" i="2"/>
  <c r="CF61" i="2"/>
  <c r="CF62" i="2"/>
  <c r="CF63" i="2"/>
  <c r="CF64" i="2"/>
  <c r="BW59" i="2"/>
  <c r="BX59" i="2" s="1"/>
  <c r="BW60" i="2"/>
  <c r="BX60" i="2" s="1"/>
  <c r="BW61" i="2"/>
  <c r="BX61" i="2" s="1"/>
  <c r="BW62" i="2"/>
  <c r="BX62" i="2" s="1"/>
  <c r="BW63" i="2"/>
  <c r="BX63" i="2" s="1"/>
  <c r="BW64" i="2"/>
  <c r="BX64" i="2" s="1"/>
  <c r="BV59" i="2"/>
  <c r="BV60" i="2"/>
  <c r="BV61" i="2"/>
  <c r="BV62" i="2"/>
  <c r="BV63" i="2"/>
  <c r="BV64" i="2"/>
  <c r="BT59" i="2"/>
  <c r="BU59" i="2" s="1"/>
  <c r="BT60" i="2"/>
  <c r="BU60" i="2" s="1"/>
  <c r="BT61" i="2"/>
  <c r="BU61" i="2" s="1"/>
  <c r="BT62" i="2"/>
  <c r="BU62" i="2" s="1"/>
  <c r="BT63" i="2"/>
  <c r="BU63" i="2" s="1"/>
  <c r="BT64" i="2"/>
  <c r="BU64" i="2" s="1"/>
  <c r="BR59" i="2"/>
  <c r="BS59" i="2" s="1"/>
  <c r="BY59" i="2" s="1"/>
  <c r="CA59" i="2" s="1"/>
  <c r="BR60" i="2"/>
  <c r="BS60" i="2" s="1"/>
  <c r="BR61" i="2"/>
  <c r="BS61" i="2" s="1"/>
  <c r="BR62" i="2"/>
  <c r="BS62" i="2" s="1"/>
  <c r="BR63" i="2"/>
  <c r="BS63" i="2" s="1"/>
  <c r="BR64" i="2"/>
  <c r="BS64" i="2" s="1"/>
  <c r="BY64" i="2" l="1"/>
  <c r="BY63" i="2"/>
  <c r="BY62" i="2"/>
  <c r="BY60" i="2"/>
  <c r="CA60" i="2" s="1"/>
  <c r="BY61" i="2"/>
  <c r="CA61" i="2" s="1"/>
  <c r="CG59" i="2"/>
  <c r="CC59" i="2"/>
  <c r="CG64" i="2"/>
  <c r="BR8" i="2"/>
  <c r="CC62" i="2" l="1"/>
  <c r="CA62" i="2"/>
  <c r="CC63" i="2"/>
  <c r="CA63" i="2"/>
  <c r="CG60" i="2"/>
  <c r="CC64" i="2"/>
  <c r="CA64" i="2"/>
  <c r="CK64" i="2"/>
  <c r="CG63" i="2"/>
  <c r="CG62" i="2"/>
  <c r="CK62" i="2"/>
  <c r="CC60" i="2"/>
  <c r="CK60" i="2" s="1"/>
  <c r="CK59" i="2"/>
  <c r="CG61" i="2"/>
  <c r="CC61" i="2"/>
  <c r="BK69" i="2"/>
  <c r="BL69" i="2"/>
  <c r="BM69" i="2"/>
  <c r="BN69" i="2"/>
  <c r="CK63" i="2" l="1"/>
  <c r="CM63" i="2" s="1"/>
  <c r="CK61" i="2"/>
  <c r="CM61" i="2" s="1"/>
  <c r="CM62" i="2"/>
  <c r="CM59" i="2"/>
  <c r="CM60" i="2"/>
  <c r="CM64" i="2"/>
  <c r="CJ7" i="2"/>
  <c r="CJ8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O59" i="2" l="1"/>
  <c r="CQ59" i="2" s="1"/>
  <c r="CO64" i="2"/>
  <c r="CQ64" i="2" s="1"/>
  <c r="CO63" i="2"/>
  <c r="CQ63" i="2" s="1"/>
  <c r="CO61" i="2"/>
  <c r="CQ61" i="2" s="1"/>
  <c r="CO60" i="2"/>
  <c r="CQ60" i="2" s="1"/>
  <c r="CF58" i="2"/>
  <c r="CN58" i="2"/>
  <c r="BR58" i="2"/>
  <c r="BS58" i="2" s="1"/>
  <c r="BT58" i="2"/>
  <c r="BU58" i="2" s="1"/>
  <c r="BV58" i="2"/>
  <c r="BW58" i="2"/>
  <c r="BX58" i="2" s="1"/>
  <c r="BY58" i="2" l="1"/>
  <c r="CA58" i="2" s="1"/>
  <c r="CU60" i="2"/>
  <c r="CW60" i="2" s="1"/>
  <c r="CU63" i="2"/>
  <c r="CW63" i="2" s="1"/>
  <c r="CU59" i="2"/>
  <c r="CW59" i="2" s="1"/>
  <c r="CU61" i="2"/>
  <c r="CW61" i="2" s="1"/>
  <c r="CU64" i="2"/>
  <c r="CW64" i="2" s="1"/>
  <c r="CO62" i="2"/>
  <c r="CQ62" i="2" s="1"/>
  <c r="CG58" i="2" l="1"/>
  <c r="CC58" i="2"/>
  <c r="CK58" i="2"/>
  <c r="CU62" i="2"/>
  <c r="CW62" i="2" s="1"/>
  <c r="CQ67" i="2"/>
  <c r="CM58" i="2" l="1"/>
  <c r="BW18" i="2"/>
  <c r="BO9" i="2" l="1"/>
  <c r="CO58" i="2" l="1"/>
  <c r="CQ58" i="2" s="1"/>
  <c r="BO69" i="2"/>
  <c r="BR11" i="2"/>
  <c r="CU58" i="2" l="1"/>
  <c r="CW58" i="2" s="1"/>
  <c r="CQ68" i="2"/>
  <c r="CN57" i="2" l="1"/>
  <c r="CF57" i="2"/>
  <c r="BW57" i="2"/>
  <c r="BX57" i="2" s="1"/>
  <c r="BV57" i="2"/>
  <c r="BT57" i="2"/>
  <c r="BU57" i="2" s="1"/>
  <c r="BR57" i="2"/>
  <c r="BS57" i="2" s="1"/>
  <c r="CN56" i="2"/>
  <c r="CF56" i="2"/>
  <c r="BW56" i="2"/>
  <c r="BX56" i="2" s="1"/>
  <c r="BV56" i="2"/>
  <c r="BT56" i="2"/>
  <c r="BU56" i="2" s="1"/>
  <c r="BR56" i="2"/>
  <c r="BS56" i="2" s="1"/>
  <c r="CN55" i="2"/>
  <c r="CF55" i="2"/>
  <c r="BW55" i="2"/>
  <c r="BX55" i="2" s="1"/>
  <c r="BV55" i="2"/>
  <c r="BT55" i="2"/>
  <c r="BU55" i="2" s="1"/>
  <c r="BR55" i="2"/>
  <c r="BS55" i="2" s="1"/>
  <c r="CN54" i="2"/>
  <c r="CF54" i="2"/>
  <c r="BW54" i="2"/>
  <c r="BX54" i="2" s="1"/>
  <c r="BV54" i="2"/>
  <c r="BT54" i="2"/>
  <c r="BU54" i="2" s="1"/>
  <c r="BR54" i="2"/>
  <c r="BS54" i="2" s="1"/>
  <c r="CN53" i="2"/>
  <c r="CF53" i="2"/>
  <c r="BW53" i="2"/>
  <c r="BX53" i="2" s="1"/>
  <c r="BV53" i="2"/>
  <c r="BT53" i="2"/>
  <c r="BU53" i="2" s="1"/>
  <c r="BR53" i="2"/>
  <c r="BS53" i="2" s="1"/>
  <c r="CN52" i="2"/>
  <c r="CF52" i="2"/>
  <c r="BW52" i="2"/>
  <c r="BX52" i="2" s="1"/>
  <c r="BV52" i="2"/>
  <c r="BT52" i="2"/>
  <c r="BU52" i="2" s="1"/>
  <c r="BR52" i="2"/>
  <c r="BS52" i="2" s="1"/>
  <c r="CN51" i="2"/>
  <c r="CF51" i="2"/>
  <c r="BW51" i="2"/>
  <c r="BX51" i="2" s="1"/>
  <c r="BV51" i="2"/>
  <c r="BT51" i="2"/>
  <c r="BU51" i="2" s="1"/>
  <c r="BR51" i="2"/>
  <c r="BS51" i="2" s="1"/>
  <c r="BY57" i="2" l="1"/>
  <c r="CA57" i="2" s="1"/>
  <c r="BY56" i="2"/>
  <c r="BY55" i="2"/>
  <c r="BY54" i="2"/>
  <c r="CA54" i="2" s="1"/>
  <c r="BY53" i="2"/>
  <c r="CA53" i="2" s="1"/>
  <c r="BY52" i="2"/>
  <c r="BY51" i="2"/>
  <c r="CG52" i="2"/>
  <c r="CG53" i="2"/>
  <c r="CC55" i="2"/>
  <c r="CG56" i="2"/>
  <c r="CG57" i="2"/>
  <c r="CC57" i="2"/>
  <c r="BR18" i="2"/>
  <c r="BS18" i="2" s="1"/>
  <c r="BT18" i="2"/>
  <c r="BU18" i="2" s="1"/>
  <c r="BV18" i="2"/>
  <c r="BX18" i="2"/>
  <c r="CF18" i="2"/>
  <c r="CN18" i="2"/>
  <c r="CG51" i="2" l="1"/>
  <c r="CA51" i="2"/>
  <c r="CG54" i="2"/>
  <c r="CC52" i="2"/>
  <c r="CA52" i="2"/>
  <c r="CC56" i="2"/>
  <c r="CA56" i="2"/>
  <c r="CG55" i="2"/>
  <c r="CA55" i="2"/>
  <c r="CK57" i="2"/>
  <c r="CM57" i="2" s="1"/>
  <c r="CK56" i="2"/>
  <c r="CK55" i="2"/>
  <c r="CM55" i="2" s="1"/>
  <c r="CC54" i="2"/>
  <c r="CC53" i="2"/>
  <c r="CK53" i="2" s="1"/>
  <c r="CM53" i="2" s="1"/>
  <c r="CK52" i="2"/>
  <c r="CM52" i="2" s="1"/>
  <c r="CC51" i="2"/>
  <c r="BY18" i="2"/>
  <c r="CA18" i="2" s="1"/>
  <c r="CC69" i="2"/>
  <c r="CK54" i="2" l="1"/>
  <c r="CM54" i="2" s="1"/>
  <c r="CK51" i="2"/>
  <c r="CM51" i="2" s="1"/>
  <c r="CO51" i="2" s="1"/>
  <c r="CQ51" i="2" s="1"/>
  <c r="CG18" i="2"/>
  <c r="CC18" i="2"/>
  <c r="CM56" i="2"/>
  <c r="CO53" i="2"/>
  <c r="CQ53" i="2" s="1"/>
  <c r="CO57" i="2"/>
  <c r="CQ57" i="2" s="1"/>
  <c r="CO55" i="2"/>
  <c r="CQ55" i="2" s="1"/>
  <c r="CO52" i="2"/>
  <c r="CQ52" i="2" s="1"/>
  <c r="CF8" i="2"/>
  <c r="CF9" i="2"/>
  <c r="CF10" i="2"/>
  <c r="CF11" i="2"/>
  <c r="CF12" i="2"/>
  <c r="CF13" i="2"/>
  <c r="CF14" i="2"/>
  <c r="CF15" i="2"/>
  <c r="CF16" i="2"/>
  <c r="CF17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69" i="2"/>
  <c r="CA69" i="2"/>
  <c r="CK69" i="2" s="1"/>
  <c r="CO69" i="2" s="1"/>
  <c r="CK18" i="2" l="1"/>
  <c r="CO56" i="2"/>
  <c r="CQ56" i="2" s="1"/>
  <c r="CU55" i="2"/>
  <c r="CW55" i="2" s="1"/>
  <c r="CU53" i="2"/>
  <c r="CW53" i="2" s="1"/>
  <c r="CU52" i="2"/>
  <c r="CW52" i="2" s="1"/>
  <c r="CU51" i="2"/>
  <c r="CW51" i="2" s="1"/>
  <c r="CU57" i="2"/>
  <c r="CW57" i="2" s="1"/>
  <c r="CO54" i="2"/>
  <c r="CQ54" i="2" s="1"/>
  <c r="CU56" i="2" l="1"/>
  <c r="CW56" i="2" s="1"/>
  <c r="CM18" i="2"/>
  <c r="CU54" i="2"/>
  <c r="CW54" i="2" s="1"/>
  <c r="BR69" i="2"/>
  <c r="BT69" i="2"/>
  <c r="BW69" i="2"/>
  <c r="CO18" i="2" l="1"/>
  <c r="BW8" i="2"/>
  <c r="BW9" i="2"/>
  <c r="BW10" i="2"/>
  <c r="BW11" i="2"/>
  <c r="BW12" i="2"/>
  <c r="BW13" i="2"/>
  <c r="BW14" i="2"/>
  <c r="BW15" i="2"/>
  <c r="BW16" i="2"/>
  <c r="BW17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7" i="2"/>
  <c r="BR9" i="2"/>
  <c r="BR10" i="2"/>
  <c r="BR12" i="2"/>
  <c r="BR13" i="2"/>
  <c r="BR14" i="2"/>
  <c r="BR15" i="2"/>
  <c r="BR16" i="2"/>
  <c r="BR17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7" i="2"/>
  <c r="CQ18" i="2" l="1"/>
  <c r="CU18" i="2" s="1"/>
  <c r="CW18" i="2" s="1"/>
  <c r="CJ9" i="2"/>
  <c r="CJ40" i="2"/>
  <c r="CJ41" i="2"/>
  <c r="CN23" i="2" l="1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BX49" i="2"/>
  <c r="BX50" i="2"/>
  <c r="BX43" i="2"/>
  <c r="BX44" i="2"/>
  <c r="BX45" i="2"/>
  <c r="BX46" i="2"/>
  <c r="BX47" i="2"/>
  <c r="BX33" i="2"/>
  <c r="BX34" i="2"/>
  <c r="BX35" i="2"/>
  <c r="BX36" i="2"/>
  <c r="BX37" i="2"/>
  <c r="BX38" i="2"/>
  <c r="BX39" i="2"/>
  <c r="BX40" i="2"/>
  <c r="BX41" i="2"/>
  <c r="BX30" i="2"/>
  <c r="BX31" i="2"/>
  <c r="BX26" i="2"/>
  <c r="BX23" i="2"/>
  <c r="BS50" i="2"/>
  <c r="BS49" i="2"/>
  <c r="BS47" i="2"/>
  <c r="BS46" i="2"/>
  <c r="BS45" i="2"/>
  <c r="BS44" i="2"/>
  <c r="BS43" i="2"/>
  <c r="BS41" i="2"/>
  <c r="BS40" i="2"/>
  <c r="BS39" i="2"/>
  <c r="BS38" i="2"/>
  <c r="BS37" i="2"/>
  <c r="BS36" i="2"/>
  <c r="BS35" i="2"/>
  <c r="BS34" i="2"/>
  <c r="BS33" i="2"/>
  <c r="BS31" i="2"/>
  <c r="BS30" i="2"/>
  <c r="BS26" i="2"/>
  <c r="BS23" i="2"/>
  <c r="BT50" i="2"/>
  <c r="BU50" i="2" s="1"/>
  <c r="BV50" i="2"/>
  <c r="BT49" i="2"/>
  <c r="BU49" i="2" s="1"/>
  <c r="BV49" i="2"/>
  <c r="BT47" i="2"/>
  <c r="BU47" i="2" s="1"/>
  <c r="BV47" i="2"/>
  <c r="BT46" i="2"/>
  <c r="BU46" i="2" s="1"/>
  <c r="BV46" i="2"/>
  <c r="BT45" i="2"/>
  <c r="BU45" i="2" s="1"/>
  <c r="BV45" i="2"/>
  <c r="BT44" i="2"/>
  <c r="BU44" i="2" s="1"/>
  <c r="BV44" i="2"/>
  <c r="BT43" i="2"/>
  <c r="BU43" i="2" s="1"/>
  <c r="BV43" i="2"/>
  <c r="BT41" i="2"/>
  <c r="BU41" i="2" s="1"/>
  <c r="BV41" i="2"/>
  <c r="BT40" i="2"/>
  <c r="BU40" i="2" s="1"/>
  <c r="BV40" i="2"/>
  <c r="BT39" i="2"/>
  <c r="BU39" i="2" s="1"/>
  <c r="BV39" i="2"/>
  <c r="BT38" i="2"/>
  <c r="BU38" i="2" s="1"/>
  <c r="BV38" i="2"/>
  <c r="BT37" i="2"/>
  <c r="BU37" i="2" s="1"/>
  <c r="BV37" i="2"/>
  <c r="BT36" i="2"/>
  <c r="BU36" i="2" s="1"/>
  <c r="BV36" i="2"/>
  <c r="BT35" i="2"/>
  <c r="BU35" i="2" s="1"/>
  <c r="BV35" i="2"/>
  <c r="BT34" i="2"/>
  <c r="BU34" i="2" s="1"/>
  <c r="BV34" i="2"/>
  <c r="BT33" i="2"/>
  <c r="BU33" i="2" s="1"/>
  <c r="BV33" i="2"/>
  <c r="BT31" i="2"/>
  <c r="BU31" i="2" s="1"/>
  <c r="BV31" i="2"/>
  <c r="BT30" i="2"/>
  <c r="BU30" i="2" s="1"/>
  <c r="BV30" i="2"/>
  <c r="BT26" i="2"/>
  <c r="BU26" i="2" s="1"/>
  <c r="BV26" i="2"/>
  <c r="BT23" i="2"/>
  <c r="BU23" i="2" s="1"/>
  <c r="BV23" i="2"/>
  <c r="BY31" i="2" l="1"/>
  <c r="CA31" i="2" s="1"/>
  <c r="BY34" i="2"/>
  <c r="CA34" i="2" s="1"/>
  <c r="BY38" i="2"/>
  <c r="CA38" i="2" s="1"/>
  <c r="BY43" i="2"/>
  <c r="CA43" i="2" s="1"/>
  <c r="BY45" i="2"/>
  <c r="CA45" i="2" s="1"/>
  <c r="BY50" i="2"/>
  <c r="CA50" i="2" s="1"/>
  <c r="BY23" i="2"/>
  <c r="CA23" i="2" s="1"/>
  <c r="BY30" i="2"/>
  <c r="CA30" i="2" s="1"/>
  <c r="BY33" i="2"/>
  <c r="CA33" i="2" s="1"/>
  <c r="BY35" i="2"/>
  <c r="CA35" i="2" s="1"/>
  <c r="BY37" i="2"/>
  <c r="CA37" i="2" s="1"/>
  <c r="BY44" i="2"/>
  <c r="CA44" i="2" s="1"/>
  <c r="BY46" i="2"/>
  <c r="CA46" i="2" s="1"/>
  <c r="BY49" i="2"/>
  <c r="CA49" i="2" s="1"/>
  <c r="BY26" i="2"/>
  <c r="CA26" i="2" s="1"/>
  <c r="BY36" i="2"/>
  <c r="CA36" i="2" s="1"/>
  <c r="BY47" i="2"/>
  <c r="BY41" i="2"/>
  <c r="BY40" i="2"/>
  <c r="CC40" i="2" s="1"/>
  <c r="BY39" i="2"/>
  <c r="CC39" i="2" s="1"/>
  <c r="CN8" i="2"/>
  <c r="CN9" i="2"/>
  <c r="CN10" i="2"/>
  <c r="CN11" i="2"/>
  <c r="CN12" i="2"/>
  <c r="CN13" i="2"/>
  <c r="CN14" i="2"/>
  <c r="CN15" i="2"/>
  <c r="CN16" i="2"/>
  <c r="CN17" i="2"/>
  <c r="CN19" i="2"/>
  <c r="CN20" i="2"/>
  <c r="CN21" i="2"/>
  <c r="CN22" i="2"/>
  <c r="BX8" i="2"/>
  <c r="BX9" i="2"/>
  <c r="BX10" i="2"/>
  <c r="BX11" i="2"/>
  <c r="BX12" i="2"/>
  <c r="BX13" i="2"/>
  <c r="BX14" i="2"/>
  <c r="BX15" i="2"/>
  <c r="BX16" i="2"/>
  <c r="BX17" i="2"/>
  <c r="BX19" i="2"/>
  <c r="BX20" i="2"/>
  <c r="BX21" i="2"/>
  <c r="BX22" i="2"/>
  <c r="BX24" i="2"/>
  <c r="BX25" i="2"/>
  <c r="BX27" i="2"/>
  <c r="BX28" i="2"/>
  <c r="BX29" i="2"/>
  <c r="BX32" i="2"/>
  <c r="BX42" i="2"/>
  <c r="BX48" i="2"/>
  <c r="BV8" i="2"/>
  <c r="BV9" i="2"/>
  <c r="BV10" i="2"/>
  <c r="BV11" i="2"/>
  <c r="BV12" i="2"/>
  <c r="BV13" i="2"/>
  <c r="BV14" i="2"/>
  <c r="BV15" i="2"/>
  <c r="BV16" i="2"/>
  <c r="BV17" i="2"/>
  <c r="BV19" i="2"/>
  <c r="BV20" i="2"/>
  <c r="BV21" i="2"/>
  <c r="BV22" i="2"/>
  <c r="BV24" i="2"/>
  <c r="BV25" i="2"/>
  <c r="BV27" i="2"/>
  <c r="BV28" i="2"/>
  <c r="BV29" i="2"/>
  <c r="BV32" i="2"/>
  <c r="BV42" i="2"/>
  <c r="BV48" i="2"/>
  <c r="BU9" i="2"/>
  <c r="BS8" i="2"/>
  <c r="BS9" i="2"/>
  <c r="BS10" i="2"/>
  <c r="BS11" i="2"/>
  <c r="BS12" i="2"/>
  <c r="BS13" i="2"/>
  <c r="BS14" i="2"/>
  <c r="BS15" i="2"/>
  <c r="BS16" i="2"/>
  <c r="BS17" i="2"/>
  <c r="BS19" i="2"/>
  <c r="BS20" i="2"/>
  <c r="BS21" i="2"/>
  <c r="BS22" i="2"/>
  <c r="BS24" i="2"/>
  <c r="BS25" i="2"/>
  <c r="BS27" i="2"/>
  <c r="BS28" i="2"/>
  <c r="BS29" i="2"/>
  <c r="BS32" i="2"/>
  <c r="BS42" i="2"/>
  <c r="BS48" i="2"/>
  <c r="CA47" i="2" l="1"/>
  <c r="CK47" i="2" s="1"/>
  <c r="CM47" i="2" s="1"/>
  <c r="CG47" i="2"/>
  <c r="CC47" i="2"/>
  <c r="CG46" i="2"/>
  <c r="CC46" i="2"/>
  <c r="CK46" i="2" s="1"/>
  <c r="CC37" i="2"/>
  <c r="CG37" i="2"/>
  <c r="CG23" i="2"/>
  <c r="CC23" i="2"/>
  <c r="CK23" i="2" s="1"/>
  <c r="CC36" i="2"/>
  <c r="CK36" i="2" s="1"/>
  <c r="CG36" i="2"/>
  <c r="CC49" i="2"/>
  <c r="CG49" i="2"/>
  <c r="CG44" i="2"/>
  <c r="CC44" i="2"/>
  <c r="CG35" i="2"/>
  <c r="CC35" i="2"/>
  <c r="CG30" i="2"/>
  <c r="CC30" i="2"/>
  <c r="CG50" i="2"/>
  <c r="CC50" i="2"/>
  <c r="CC43" i="2"/>
  <c r="CG43" i="2"/>
  <c r="CK43" i="2"/>
  <c r="CG34" i="2"/>
  <c r="CC34" i="2"/>
  <c r="CK34" i="2" s="1"/>
  <c r="CG26" i="2"/>
  <c r="CC26" i="2"/>
  <c r="CG33" i="2"/>
  <c r="CK33" i="2" s="1"/>
  <c r="CG45" i="2"/>
  <c r="CC45" i="2"/>
  <c r="CG38" i="2"/>
  <c r="CC38" i="2"/>
  <c r="CK38" i="2" s="1"/>
  <c r="CG31" i="2"/>
  <c r="CC31" i="2"/>
  <c r="CA41" i="2"/>
  <c r="CC41" i="2"/>
  <c r="CA40" i="2"/>
  <c r="CA39" i="2"/>
  <c r="CG41" i="2"/>
  <c r="CG40" i="2"/>
  <c r="CG39" i="2"/>
  <c r="CK50" i="2" l="1"/>
  <c r="CM50" i="2" s="1"/>
  <c r="CK49" i="2"/>
  <c r="CK45" i="2"/>
  <c r="CK44" i="2"/>
  <c r="CK37" i="2"/>
  <c r="CK35" i="2"/>
  <c r="CM35" i="2" s="1"/>
  <c r="CK31" i="2"/>
  <c r="CM31" i="2" s="1"/>
  <c r="CK30" i="2"/>
  <c r="CM30" i="2" s="1"/>
  <c r="CK26" i="2"/>
  <c r="CK40" i="2"/>
  <c r="CO40" i="2" s="1"/>
  <c r="CQ40" i="2" s="1"/>
  <c r="CL41" i="2" s="1"/>
  <c r="CK39" i="2"/>
  <c r="CO39" i="2" s="1"/>
  <c r="CQ39" i="2" s="1"/>
  <c r="CL40" i="2" s="1"/>
  <c r="CM44" i="2"/>
  <c r="CM46" i="2"/>
  <c r="CM38" i="2"/>
  <c r="CM33" i="2"/>
  <c r="CM34" i="2"/>
  <c r="BT15" i="2"/>
  <c r="CM36" i="2" l="1"/>
  <c r="CM23" i="2"/>
  <c r="CM43" i="2"/>
  <c r="CM45" i="2"/>
  <c r="CM26" i="2"/>
  <c r="CM37" i="2"/>
  <c r="CM49" i="2"/>
  <c r="CO44" i="2"/>
  <c r="CQ44" i="2" s="1"/>
  <c r="CO34" i="2"/>
  <c r="CQ34" i="2" s="1"/>
  <c r="CO31" i="2"/>
  <c r="CQ31" i="2" s="1"/>
  <c r="CU31" i="2" s="1"/>
  <c r="CO50" i="2"/>
  <c r="CQ50" i="2" s="1"/>
  <c r="CO30" i="2"/>
  <c r="CQ30" i="2" s="1"/>
  <c r="CO38" i="2"/>
  <c r="CQ38" i="2" s="1"/>
  <c r="CO47" i="2"/>
  <c r="CQ47" i="2" s="1"/>
  <c r="CO33" i="2"/>
  <c r="CQ33" i="2" s="1"/>
  <c r="CO35" i="2"/>
  <c r="CQ35" i="2" s="1"/>
  <c r="CO46" i="2"/>
  <c r="CQ46" i="2" s="1"/>
  <c r="CO41" i="2"/>
  <c r="CQ41" i="2" s="1"/>
  <c r="BU15" i="2"/>
  <c r="BY15" i="2" s="1"/>
  <c r="CA15" i="2" s="1"/>
  <c r="BY9" i="2"/>
  <c r="CC9" i="2" s="1"/>
  <c r="BT25" i="2"/>
  <c r="BT20" i="2"/>
  <c r="BT17" i="2"/>
  <c r="BT13" i="2"/>
  <c r="BT12" i="2"/>
  <c r="CO37" i="2" l="1"/>
  <c r="CO45" i="2"/>
  <c r="CO23" i="2"/>
  <c r="CG15" i="2"/>
  <c r="CC15" i="2"/>
  <c r="CO49" i="2"/>
  <c r="CO26" i="2"/>
  <c r="CO43" i="2"/>
  <c r="CO36" i="2"/>
  <c r="CU35" i="2"/>
  <c r="CW35" i="2" s="1"/>
  <c r="CU38" i="2"/>
  <c r="CW38" i="2" s="1"/>
  <c r="CU50" i="2"/>
  <c r="CW50" i="2" s="1"/>
  <c r="CU34" i="2"/>
  <c r="CW34" i="2" s="1"/>
  <c r="CW47" i="2"/>
  <c r="CU46" i="2"/>
  <c r="CW46" i="2" s="1"/>
  <c r="CU33" i="2"/>
  <c r="CW33" i="2" s="1"/>
  <c r="CU30" i="2"/>
  <c r="CW30" i="2" s="1"/>
  <c r="CW31" i="2"/>
  <c r="CU44" i="2"/>
  <c r="CW44" i="2" s="1"/>
  <c r="CA9" i="2"/>
  <c r="BU12" i="2"/>
  <c r="BY12" i="2" s="1"/>
  <c r="CA12" i="2" s="1"/>
  <c r="BU17" i="2"/>
  <c r="BY17" i="2" s="1"/>
  <c r="CA17" i="2" s="1"/>
  <c r="BU25" i="2"/>
  <c r="BY25" i="2" s="1"/>
  <c r="CA25" i="2" s="1"/>
  <c r="BU13" i="2"/>
  <c r="BY13" i="2" s="1"/>
  <c r="CA13" i="2" s="1"/>
  <c r="BU20" i="2"/>
  <c r="BY20" i="2" s="1"/>
  <c r="CA20" i="2" s="1"/>
  <c r="CG9" i="2"/>
  <c r="CK15" i="2" l="1"/>
  <c r="CC13" i="2"/>
  <c r="CG13" i="2"/>
  <c r="CC17" i="2"/>
  <c r="CG17" i="2"/>
  <c r="CG20" i="2"/>
  <c r="CC20" i="2"/>
  <c r="CC25" i="2"/>
  <c r="CK25" i="2" s="1"/>
  <c r="CG25" i="2"/>
  <c r="CG12" i="2"/>
  <c r="CQ36" i="2"/>
  <c r="CU36" i="2" s="1"/>
  <c r="CW36" i="2" s="1"/>
  <c r="CQ43" i="2"/>
  <c r="CU43" i="2" s="1"/>
  <c r="CW43" i="2" s="1"/>
  <c r="CQ26" i="2"/>
  <c r="CU26" i="2" s="1"/>
  <c r="CW26" i="2" s="1"/>
  <c r="CQ49" i="2"/>
  <c r="CU49" i="2" s="1"/>
  <c r="CW49" i="2" s="1"/>
  <c r="CQ23" i="2"/>
  <c r="CU23" i="2" s="1"/>
  <c r="CW23" i="2" s="1"/>
  <c r="CQ45" i="2"/>
  <c r="CU45" i="2" s="1"/>
  <c r="CW45" i="2" s="1"/>
  <c r="CQ37" i="2"/>
  <c r="CU37" i="2" s="1"/>
  <c r="CW37" i="2" s="1"/>
  <c r="CM15" i="2"/>
  <c r="CK9" i="2"/>
  <c r="CO9" i="2" s="1"/>
  <c r="CQ9" i="2" s="1"/>
  <c r="CL9" i="2" s="1"/>
  <c r="CK20" i="2" l="1"/>
  <c r="CK17" i="2"/>
  <c r="CM17" i="2" s="1"/>
  <c r="CK13" i="2"/>
  <c r="CM13" i="2" s="1"/>
  <c r="CK12" i="2"/>
  <c r="CO15" i="2"/>
  <c r="CQ15" i="2" s="1"/>
  <c r="BT22" i="2"/>
  <c r="BT16" i="2"/>
  <c r="CM25" i="2" l="1"/>
  <c r="CM20" i="2"/>
  <c r="CM12" i="2"/>
  <c r="CU15" i="2"/>
  <c r="CW15" i="2" s="1"/>
  <c r="CO13" i="2"/>
  <c r="CQ13" i="2" s="1"/>
  <c r="CO17" i="2"/>
  <c r="CQ17" i="2" s="1"/>
  <c r="BU22" i="2"/>
  <c r="BY22" i="2" s="1"/>
  <c r="CA22" i="2" s="1"/>
  <c r="BU16" i="2"/>
  <c r="BY16" i="2" s="1"/>
  <c r="CA16" i="2" s="1"/>
  <c r="BX7" i="2"/>
  <c r="CN7" i="2"/>
  <c r="CC22" i="2" l="1"/>
  <c r="CG22" i="2"/>
  <c r="CO12" i="2"/>
  <c r="CO25" i="2"/>
  <c r="CC16" i="2"/>
  <c r="CG16" i="2"/>
  <c r="CO20" i="2"/>
  <c r="CU17" i="2"/>
  <c r="CW17" i="2" s="1"/>
  <c r="CU13" i="2"/>
  <c r="CW13" i="2" s="1"/>
  <c r="BT32" i="2"/>
  <c r="BT27" i="2"/>
  <c r="BT24" i="2"/>
  <c r="BT10" i="2"/>
  <c r="BT11" i="2"/>
  <c r="BT48" i="2"/>
  <c r="BU48" i="2" s="1"/>
  <c r="BY48" i="2" s="1"/>
  <c r="CA48" i="2" s="1"/>
  <c r="BT42" i="2"/>
  <c r="BU42" i="2" s="1"/>
  <c r="BY42" i="2" s="1"/>
  <c r="CA42" i="2" s="1"/>
  <c r="BT29" i="2"/>
  <c r="BT14" i="2"/>
  <c r="CK22" i="2" l="1"/>
  <c r="CK16" i="2"/>
  <c r="CG42" i="2"/>
  <c r="CC42" i="2"/>
  <c r="CC48" i="2"/>
  <c r="CG48" i="2"/>
  <c r="CQ20" i="2"/>
  <c r="CU20" i="2" s="1"/>
  <c r="CW20" i="2" s="1"/>
  <c r="CQ25" i="2"/>
  <c r="CU25" i="2" s="1"/>
  <c r="CW25" i="2" s="1"/>
  <c r="CQ12" i="2"/>
  <c r="CU12" i="2" s="1"/>
  <c r="CW12" i="2" s="1"/>
  <c r="BU29" i="2"/>
  <c r="BY29" i="2" s="1"/>
  <c r="CA29" i="2" s="1"/>
  <c r="BU24" i="2"/>
  <c r="BY24" i="2" s="1"/>
  <c r="CA24" i="2" s="1"/>
  <c r="BU32" i="2"/>
  <c r="BY32" i="2" s="1"/>
  <c r="CA32" i="2" s="1"/>
  <c r="BU14" i="2"/>
  <c r="BY14" i="2" s="1"/>
  <c r="CA14" i="2" s="1"/>
  <c r="BU11" i="2"/>
  <c r="BY11" i="2" s="1"/>
  <c r="CA11" i="2" s="1"/>
  <c r="BU10" i="2"/>
  <c r="BY10" i="2" s="1"/>
  <c r="CA10" i="2" s="1"/>
  <c r="BU27" i="2"/>
  <c r="BY27" i="2" s="1"/>
  <c r="CA27" i="2" s="1"/>
  <c r="CK48" i="2" l="1"/>
  <c r="CK42" i="2"/>
  <c r="CC27" i="2"/>
  <c r="CG27" i="2"/>
  <c r="CC11" i="2"/>
  <c r="CG11" i="2"/>
  <c r="CG32" i="2"/>
  <c r="CC32" i="2"/>
  <c r="CC29" i="2"/>
  <c r="CG29" i="2"/>
  <c r="CK29" i="2" s="1"/>
  <c r="CC10" i="2"/>
  <c r="CG10" i="2"/>
  <c r="CG14" i="2"/>
  <c r="CC14" i="2"/>
  <c r="CK14" i="2" s="1"/>
  <c r="CG24" i="2"/>
  <c r="CC24" i="2"/>
  <c r="CM22" i="2"/>
  <c r="CM16" i="2"/>
  <c r="BT28" i="2"/>
  <c r="BT21" i="2"/>
  <c r="CK11" i="2" l="1"/>
  <c r="CK32" i="2"/>
  <c r="CK27" i="2"/>
  <c r="CK24" i="2"/>
  <c r="CK10" i="2"/>
  <c r="CM10" i="2" s="1"/>
  <c r="CO22" i="2"/>
  <c r="CO16" i="2"/>
  <c r="CM48" i="2"/>
  <c r="CM42" i="2"/>
  <c r="BU28" i="2"/>
  <c r="BY28" i="2" s="1"/>
  <c r="CA28" i="2" s="1"/>
  <c r="BU21" i="2"/>
  <c r="BY21" i="2" s="1"/>
  <c r="CA21" i="2" s="1"/>
  <c r="BT8" i="2"/>
  <c r="BU8" i="2" s="1"/>
  <c r="BY8" i="2" s="1"/>
  <c r="BT19" i="2"/>
  <c r="BT7" i="2"/>
  <c r="CC21" i="2" l="1"/>
  <c r="CG21" i="2"/>
  <c r="CO48" i="2"/>
  <c r="CQ48" i="2" s="1"/>
  <c r="CC8" i="2"/>
  <c r="CG8" i="2"/>
  <c r="CA8" i="2"/>
  <c r="CG28" i="2"/>
  <c r="CK28" i="2" s="1"/>
  <c r="CQ16" i="2"/>
  <c r="CU16" i="2" s="1"/>
  <c r="CW16" i="2" s="1"/>
  <c r="CQ22" i="2"/>
  <c r="CU22" i="2" s="1"/>
  <c r="CW22" i="2" s="1"/>
  <c r="CM27" i="2"/>
  <c r="CM24" i="2"/>
  <c r="CM32" i="2"/>
  <c r="CM29" i="2"/>
  <c r="CM11" i="2"/>
  <c r="CM14" i="2"/>
  <c r="CO10" i="2"/>
  <c r="CQ10" i="2" s="1"/>
  <c r="CO42" i="2"/>
  <c r="CQ42" i="2" s="1"/>
  <c r="CU42" i="2" s="1"/>
  <c r="BU19" i="2"/>
  <c r="BY19" i="2" s="1"/>
  <c r="CA19" i="2" s="1"/>
  <c r="BV7" i="2"/>
  <c r="BU7" i="2"/>
  <c r="CK21" i="2" l="1"/>
  <c r="CK8" i="2"/>
  <c r="CC19" i="2"/>
  <c r="CG19" i="2"/>
  <c r="CO11" i="2"/>
  <c r="CQ11" i="2" s="1"/>
  <c r="CO32" i="2"/>
  <c r="CQ32" i="2" s="1"/>
  <c r="CO27" i="2"/>
  <c r="CQ27" i="2" s="1"/>
  <c r="CO14" i="2"/>
  <c r="CQ14" i="2" s="1"/>
  <c r="CO29" i="2"/>
  <c r="CQ29" i="2" s="1"/>
  <c r="CO24" i="2"/>
  <c r="CU48" i="2"/>
  <c r="CW48" i="2" s="1"/>
  <c r="CW42" i="2"/>
  <c r="CU10" i="2"/>
  <c r="CW10" i="2" s="1"/>
  <c r="CM28" i="2"/>
  <c r="CK19" i="2" l="1"/>
  <c r="CQ24" i="2"/>
  <c r="CU24" i="2" s="1"/>
  <c r="CW24" i="2" s="1"/>
  <c r="CU29" i="2"/>
  <c r="CW29" i="2" s="1"/>
  <c r="CU14" i="2"/>
  <c r="CW14" i="2" s="1"/>
  <c r="CU27" i="2"/>
  <c r="CW27" i="2" s="1"/>
  <c r="CU32" i="2"/>
  <c r="CW32" i="2" s="1"/>
  <c r="CU11" i="2"/>
  <c r="CW11" i="2" s="1"/>
  <c r="CM21" i="2"/>
  <c r="CO28" i="2"/>
  <c r="CF7" i="2"/>
  <c r="CO21" i="2" l="1"/>
  <c r="CM19" i="2"/>
  <c r="CW28" i="2"/>
  <c r="BS7" i="2"/>
  <c r="BY7" i="2" s="1"/>
  <c r="CO19" i="2" l="1"/>
  <c r="CQ19" i="2" s="1"/>
  <c r="CQ21" i="2"/>
  <c r="CU21" i="2" s="1"/>
  <c r="CW21" i="2" s="1"/>
  <c r="CM8" i="2"/>
  <c r="CA7" i="2"/>
  <c r="CC7" i="2"/>
  <c r="CG7" i="2"/>
  <c r="CK7" i="2" l="1"/>
  <c r="CM7" i="2" s="1"/>
  <c r="CO7" i="2" s="1"/>
  <c r="CQ7" i="2" s="1"/>
  <c r="CO8" i="2"/>
  <c r="CU19" i="2"/>
  <c r="CW19" i="2" s="1"/>
  <c r="CQ8" i="2" l="1"/>
  <c r="CU8" i="2" s="1"/>
  <c r="CQ90" i="2" l="1"/>
  <c r="CQ69" i="2"/>
  <c r="CQ91" i="2"/>
  <c r="CR91" i="2" s="1"/>
  <c r="CW8" i="2"/>
  <c r="CW69" i="2" s="1"/>
  <c r="CU65" i="2"/>
</calcChain>
</file>

<file path=xl/sharedStrings.xml><?xml version="1.0" encoding="utf-8"?>
<sst xmlns="http://schemas.openxmlformats.org/spreadsheetml/2006/main" count="365" uniqueCount="152">
  <si>
    <t>Horas</t>
  </si>
  <si>
    <t>LEGAJO</t>
  </si>
  <si>
    <t>APELLIDO Y NOMBRES</t>
  </si>
  <si>
    <t>Tot.</t>
  </si>
  <si>
    <t>N</t>
  </si>
  <si>
    <t>CEJAS, ROSALIA</t>
  </si>
  <si>
    <t>FR</t>
  </si>
  <si>
    <t>F</t>
  </si>
  <si>
    <t>P</t>
  </si>
  <si>
    <t>MONJE. JOSE</t>
  </si>
  <si>
    <t>DE LA TORRE, MARCELO</t>
  </si>
  <si>
    <t>CM</t>
  </si>
  <si>
    <t>L</t>
  </si>
  <si>
    <t>Franco</t>
  </si>
  <si>
    <t>Falta s/aviso</t>
  </si>
  <si>
    <t>Permiso</t>
  </si>
  <si>
    <t>Cert.Medico</t>
  </si>
  <si>
    <t>Fallec.Fliar directo</t>
  </si>
  <si>
    <t>TOTAL HORAS</t>
  </si>
  <si>
    <t xml:space="preserve">ADICIONAL </t>
  </si>
  <si>
    <t>ART. 28 - 20%</t>
  </si>
  <si>
    <t>ART. 27  -13%</t>
  </si>
  <si>
    <t>AÑOS</t>
  </si>
  <si>
    <t>MODULO</t>
  </si>
  <si>
    <t>DEDUCCIONES</t>
  </si>
  <si>
    <t>REMUNERATIVO</t>
  </si>
  <si>
    <t>A PAGAR</t>
  </si>
  <si>
    <t>PROD.</t>
  </si>
  <si>
    <t>PRESENT.</t>
  </si>
  <si>
    <t>ANTIG.</t>
  </si>
  <si>
    <t xml:space="preserve">NOCTURNAS </t>
  </si>
  <si>
    <t>$</t>
  </si>
  <si>
    <t>FR. CM.L.</t>
  </si>
  <si>
    <t>IBAÑEZ MARTIN</t>
  </si>
  <si>
    <t>SARCO NELSON</t>
  </si>
  <si>
    <t>TOLOZA JUAN DOMINGO</t>
  </si>
  <si>
    <t>SANCHEZ CARLOS</t>
  </si>
  <si>
    <t xml:space="preserve">FARIAS, DARIO   </t>
  </si>
  <si>
    <t>CHAVAN DAVID</t>
  </si>
  <si>
    <t>CARO LEANDRO JESUS</t>
  </si>
  <si>
    <t>ABRAHAM FABIAN A</t>
  </si>
  <si>
    <t>GOMEZ JORGE JAVIER</t>
  </si>
  <si>
    <t>DIAZ RAFAEL EMILIANO</t>
  </si>
  <si>
    <t>CORONEL FABRICIO</t>
  </si>
  <si>
    <t>SALVATIERRA JUAN C</t>
  </si>
  <si>
    <t>Nocturnas</t>
  </si>
  <si>
    <t>GIMENEZ JUAN MARCELO</t>
  </si>
  <si>
    <t>ROY VERON ADAMS</t>
  </si>
  <si>
    <t>ZEMENUCK ANDRES</t>
  </si>
  <si>
    <t>LOPEZ HECTOR</t>
  </si>
  <si>
    <t>SEQUEIRA HECTOR</t>
  </si>
  <si>
    <t>DE LA TORRE, CARLOS</t>
  </si>
  <si>
    <t>BAEZ GUSTAVO</t>
  </si>
  <si>
    <t>ALBRECHT SERGIO</t>
  </si>
  <si>
    <t>RODRIGUEZ JORGE</t>
  </si>
  <si>
    <t>ARANDA ADRIAN</t>
  </si>
  <si>
    <t>VALLEJOS DARIO</t>
  </si>
  <si>
    <t>DIAS LUCAS</t>
  </si>
  <si>
    <t>BELIZAN HECTOR</t>
  </si>
  <si>
    <t>GALLARDO JORGE</t>
  </si>
  <si>
    <t>TOLOZA SEBASTIAN</t>
  </si>
  <si>
    <t>GIMENEZ JORGE</t>
  </si>
  <si>
    <t>MUÑOZ MIGUEL</t>
  </si>
  <si>
    <t>AQUINO CRISITIAN</t>
  </si>
  <si>
    <t>SARDINA CLAUDIO</t>
  </si>
  <si>
    <t>SANTILLAN OSCAR</t>
  </si>
  <si>
    <t>SANDOVAL ANGEL</t>
  </si>
  <si>
    <t>CORONEL CLAUDIO</t>
  </si>
  <si>
    <t>AQUINO DANILO</t>
  </si>
  <si>
    <t>PAZ NELSON</t>
  </si>
  <si>
    <t>IBAÑEZ FRANCO</t>
  </si>
  <si>
    <t>FERNANDEZ ANIBAL</t>
  </si>
  <si>
    <t>LOPEZ DARIO</t>
  </si>
  <si>
    <t>HORAS</t>
  </si>
  <si>
    <t>FR. CM. L.</t>
  </si>
  <si>
    <t>S</t>
  </si>
  <si>
    <t>E</t>
  </si>
  <si>
    <t>GALVAN CARLOS RUFUNO</t>
  </si>
  <si>
    <t>LEDEZMA NICOLAS JOAQUIN</t>
  </si>
  <si>
    <t>SEQUEIRA CARLOS DANIEL</t>
  </si>
  <si>
    <t>ARMAYO CLAUDIO DANIEL</t>
  </si>
  <si>
    <t>CALOZO JORGE RUBEN</t>
  </si>
  <si>
    <t>ESPINDOLA ISMAEL ABRRAHAM</t>
  </si>
  <si>
    <t>ROJAS BRAIAN LEONARDO</t>
  </si>
  <si>
    <t>SEIFI DANIEL ENRIQUE</t>
  </si>
  <si>
    <t>GIMENEZ OMAR (30/06-FCAMP.)</t>
  </si>
  <si>
    <t>FIGUEROA DANIEL</t>
  </si>
  <si>
    <t>RETROACTIVO</t>
  </si>
  <si>
    <t>AJUSTE</t>
  </si>
  <si>
    <t>ANTICIPO</t>
  </si>
  <si>
    <t>RIVERA EDGARDO DANIEL</t>
  </si>
  <si>
    <t xml:space="preserve">DESCUENTO </t>
  </si>
  <si>
    <t>ANTICIPO A CUENTA</t>
  </si>
  <si>
    <t>DEPOSITAR</t>
  </si>
  <si>
    <t>GIMENEZ SEBASTIAN</t>
  </si>
  <si>
    <t>MUÑOZ HERNAN</t>
  </si>
  <si>
    <t xml:space="preserve">HERRERA LEANDRO </t>
  </si>
  <si>
    <t>GALARZA FERNANDO ABEL</t>
  </si>
  <si>
    <t xml:space="preserve">AVALOS CARLOS EZEQUIEL </t>
  </si>
  <si>
    <t>BAEZ VICTOR</t>
  </si>
  <si>
    <t>SAC</t>
  </si>
  <si>
    <t xml:space="preserve">NO REM. </t>
  </si>
  <si>
    <t>BASE DE CALCULO</t>
  </si>
  <si>
    <t>DIARIO</t>
  </si>
  <si>
    <t>TRABAJADO</t>
  </si>
  <si>
    <t>SAC REM.</t>
  </si>
  <si>
    <t>REM.</t>
  </si>
  <si>
    <t xml:space="preserve"> SAC</t>
  </si>
  <si>
    <t>MEJOR REMUNERACION</t>
  </si>
  <si>
    <t>PROMEDIO</t>
  </si>
  <si>
    <t>TOTAL</t>
  </si>
  <si>
    <t>DESCUENTOS</t>
  </si>
  <si>
    <t>MENSUAL</t>
  </si>
  <si>
    <t>JULIO</t>
  </si>
  <si>
    <t>MONJE. JOSE LUIS</t>
  </si>
  <si>
    <t xml:space="preserve">ABRAHAM FABIAN </t>
  </si>
  <si>
    <t>LOPEZ HECTOR DANTE</t>
  </si>
  <si>
    <t>SEQUEIRA HECTOR GABRIEL</t>
  </si>
  <si>
    <t>DE LA TORRE, CARLOS DAMIAN</t>
  </si>
  <si>
    <t>BAEZ GUSTAVO MIGUEL</t>
  </si>
  <si>
    <t>GOMEZ JAVIER</t>
  </si>
  <si>
    <t>DE LA TORRE, CLAUDIO MARCELO</t>
  </si>
  <si>
    <t>IBAÑEZ JOSE MARTIN</t>
  </si>
  <si>
    <t>VERON ROY ADAM HERMES</t>
  </si>
  <si>
    <t>ARANDA ADRIAN ANIBAL</t>
  </si>
  <si>
    <t>RODRIGUEZ JORGE EDUARDO</t>
  </si>
  <si>
    <t>VALLEJOS HECTOR DARIO</t>
  </si>
  <si>
    <t>CORONEL FABRICIO GABRIEL</t>
  </si>
  <si>
    <t>SARCO NELSON OSCAR</t>
  </si>
  <si>
    <t>SANCHEZ CARLOS DE JESUS</t>
  </si>
  <si>
    <t>DIAS LUCAS EDUARDO</t>
  </si>
  <si>
    <t>BELIZAN HECTOR ANTONIO</t>
  </si>
  <si>
    <t>SALVATIERRA JUAN CRUZ</t>
  </si>
  <si>
    <t>GALLARDO JORGE DANIEL</t>
  </si>
  <si>
    <t>TOLOZA SEBASTIAN RAFAEL</t>
  </si>
  <si>
    <t>GIMENEZ JORGE GUSTAVO</t>
  </si>
  <si>
    <t>MUÑOZ MIGUEL ANGEL</t>
  </si>
  <si>
    <t>AQUINO CRISTIAN GASTON</t>
  </si>
  <si>
    <t>SARDINA CLAUDIO CESAR</t>
  </si>
  <si>
    <t>FARIAS, DARIO FABIAN</t>
  </si>
  <si>
    <t>SANDOVAL ANGEL ARIEL</t>
  </si>
  <si>
    <t>CORONEL CLAUDIO NELSON</t>
  </si>
  <si>
    <t>AQUINO DANILO EZEQUIEL</t>
  </si>
  <si>
    <t>PAZ NELSON DAVID</t>
  </si>
  <si>
    <t>IBAÑEZ FRANCO JOSE</t>
  </si>
  <si>
    <t>CHAVAN WALTER DAVID</t>
  </si>
  <si>
    <t>LOPEZ DARIO FABIAN</t>
  </si>
  <si>
    <t>CEJAS CALOZO RUBEN</t>
  </si>
  <si>
    <t xml:space="preserve">ARMAYO CLAUDIO </t>
  </si>
  <si>
    <t>ESPINDOLA ISMAEL ABRAHAM</t>
  </si>
  <si>
    <t>BAEZ VICTOR DANIEL</t>
  </si>
  <si>
    <t>2º QUINCENAJULIO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</si>
</sst>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[$€]\ #,##0.00\ ;[$€]&quot; -&quot;#,##0.00\ ;[$€]&quot; -&quot;#\ "/>
    <numFmt numFmtId="166" formatCode="dd"/>
    <numFmt numFmtId="167" formatCode="[$-C0A]mmmm\-yy;@"/>
    <numFmt numFmtId="168" formatCode="#,##0.00_ ;\-#,##0.00\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165" fontId="0" fillId="0" borderId="0"/>
    <xf numFmtId="165" fontId="1" fillId="0" borderId="0"/>
    <xf numFmtId="164" fontId="2" fillId="0" borderId="0" applyFont="0" applyFill="0" applyBorder="0" applyAlignment="0" applyProtection="0"/>
  </cellStyleXfs>
  <cellXfs count="209">
    <xf numFmtId="165" fontId="0" fillId="0" borderId="0" xfId="0"/>
    <xf numFmtId="4" fontId="5" fillId="0" borderId="0" xfId="0" applyNumberFormat="1" applyFont="1" applyFill="1"/>
    <xf numFmtId="165" fontId="5" fillId="0" borderId="0" xfId="0" applyFont="1" applyFill="1"/>
    <xf numFmtId="2" fontId="4" fillId="0" borderId="3" xfId="0" applyNumberFormat="1" applyFont="1" applyFill="1" applyBorder="1"/>
    <xf numFmtId="165" fontId="6" fillId="0" borderId="0" xfId="0" applyFont="1" applyFill="1"/>
    <xf numFmtId="165" fontId="5" fillId="0" borderId="27" xfId="0" applyFont="1" applyFill="1" applyBorder="1"/>
    <xf numFmtId="165" fontId="5" fillId="0" borderId="28" xfId="0" applyFont="1" applyFill="1" applyBorder="1"/>
    <xf numFmtId="164" fontId="6" fillId="0" borderId="0" xfId="2" applyFont="1" applyFill="1"/>
    <xf numFmtId="2" fontId="6" fillId="0" borderId="0" xfId="2" applyNumberFormat="1" applyFont="1" applyFill="1"/>
    <xf numFmtId="2" fontId="6" fillId="0" borderId="0" xfId="0" applyNumberFormat="1" applyFont="1" applyFill="1"/>
    <xf numFmtId="165" fontId="5" fillId="0" borderId="11" xfId="0" applyNumberFormat="1" applyFont="1" applyFill="1" applyBorder="1" applyAlignment="1">
      <alignment horizontal="center"/>
    </xf>
    <xf numFmtId="165" fontId="5" fillId="0" borderId="12" xfId="0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65" fontId="5" fillId="0" borderId="13" xfId="0" applyFont="1" applyFill="1" applyBorder="1" applyAlignment="1"/>
    <xf numFmtId="165" fontId="5" fillId="0" borderId="0" xfId="0" applyFont="1" applyFill="1" applyAlignment="1"/>
    <xf numFmtId="4" fontId="4" fillId="0" borderId="3" xfId="0" applyNumberFormat="1" applyFont="1" applyFill="1" applyBorder="1" applyAlignment="1">
      <alignment horizontal="center"/>
    </xf>
    <xf numFmtId="164" fontId="6" fillId="0" borderId="22" xfId="2" applyFont="1" applyFill="1" applyBorder="1"/>
    <xf numFmtId="165" fontId="3" fillId="0" borderId="24" xfId="1" applyFont="1" applyFill="1" applyBorder="1" applyAlignment="1">
      <alignment horizontal="left"/>
    </xf>
    <xf numFmtId="165" fontId="4" fillId="0" borderId="24" xfId="0" applyNumberFormat="1" applyFont="1" applyFill="1" applyBorder="1" applyAlignment="1">
      <alignment horizontal="center"/>
    </xf>
    <xf numFmtId="4" fontId="4" fillId="0" borderId="24" xfId="0" applyNumberFormat="1" applyFont="1" applyFill="1" applyBorder="1" applyAlignment="1">
      <alignment horizontal="center"/>
    </xf>
    <xf numFmtId="2" fontId="4" fillId="0" borderId="24" xfId="0" applyNumberFormat="1" applyFont="1" applyFill="1" applyBorder="1"/>
    <xf numFmtId="165" fontId="4" fillId="0" borderId="0" xfId="0" applyFont="1" applyFill="1"/>
    <xf numFmtId="9" fontId="4" fillId="0" borderId="4" xfId="0" applyNumberFormat="1" applyFont="1" applyFill="1" applyBorder="1" applyAlignment="1">
      <alignment horizontal="center"/>
    </xf>
    <xf numFmtId="165" fontId="5" fillId="0" borderId="29" xfId="0" applyFont="1" applyFill="1" applyBorder="1"/>
    <xf numFmtId="9" fontId="4" fillId="0" borderId="35" xfId="0" applyNumberFormat="1" applyFont="1" applyFill="1" applyBorder="1" applyAlignment="1">
      <alignment horizontal="center"/>
    </xf>
    <xf numFmtId="165" fontId="5" fillId="0" borderId="36" xfId="0" applyFont="1" applyFill="1" applyBorder="1"/>
    <xf numFmtId="2" fontId="4" fillId="0" borderId="39" xfId="0" applyNumberFormat="1" applyFont="1" applyFill="1" applyBorder="1"/>
    <xf numFmtId="165" fontId="8" fillId="0" borderId="0" xfId="0" applyFont="1" applyFill="1"/>
    <xf numFmtId="165" fontId="7" fillId="0" borderId="0" xfId="0" applyFont="1" applyFill="1"/>
    <xf numFmtId="4" fontId="4" fillId="0" borderId="30" xfId="0" applyNumberFormat="1" applyFont="1" applyFill="1" applyBorder="1"/>
    <xf numFmtId="2" fontId="4" fillId="0" borderId="30" xfId="0" applyNumberFormat="1" applyFont="1" applyFill="1" applyBorder="1"/>
    <xf numFmtId="2" fontId="6" fillId="0" borderId="33" xfId="0" applyNumberFormat="1" applyFont="1" applyFill="1" applyBorder="1"/>
    <xf numFmtId="4" fontId="4" fillId="0" borderId="42" xfId="0" applyNumberFormat="1" applyFont="1" applyFill="1" applyBorder="1"/>
    <xf numFmtId="4" fontId="4" fillId="0" borderId="40" xfId="0" applyNumberFormat="1" applyFont="1" applyFill="1" applyBorder="1"/>
    <xf numFmtId="4" fontId="4" fillId="0" borderId="21" xfId="0" applyNumberFormat="1" applyFont="1" applyFill="1" applyBorder="1"/>
    <xf numFmtId="1" fontId="9" fillId="0" borderId="32" xfId="1" applyNumberFormat="1" applyFont="1" applyFill="1" applyBorder="1" applyAlignment="1">
      <alignment horizontal="center"/>
    </xf>
    <xf numFmtId="4" fontId="4" fillId="0" borderId="3" xfId="0" applyNumberFormat="1" applyFont="1" applyFill="1" applyBorder="1"/>
    <xf numFmtId="4" fontId="4" fillId="0" borderId="24" xfId="0" applyNumberFormat="1" applyFont="1" applyFill="1" applyBorder="1"/>
    <xf numFmtId="165" fontId="4" fillId="0" borderId="28" xfId="0" applyFont="1" applyFill="1" applyBorder="1"/>
    <xf numFmtId="4" fontId="4" fillId="0" borderId="28" xfId="0" applyNumberFormat="1" applyFont="1" applyFill="1" applyBorder="1" applyAlignment="1">
      <alignment horizontal="center"/>
    </xf>
    <xf numFmtId="1" fontId="3" fillId="0" borderId="32" xfId="1" applyNumberFormat="1" applyFont="1" applyFill="1" applyBorder="1" applyAlignment="1">
      <alignment horizontal="center"/>
    </xf>
    <xf numFmtId="4" fontId="8" fillId="0" borderId="0" xfId="0" applyNumberFormat="1" applyFont="1" applyFill="1"/>
    <xf numFmtId="4" fontId="7" fillId="0" borderId="23" xfId="0" applyNumberFormat="1" applyFont="1" applyFill="1" applyBorder="1"/>
    <xf numFmtId="4" fontId="8" fillId="0" borderId="29" xfId="0" applyNumberFormat="1" applyFont="1" applyFill="1" applyBorder="1"/>
    <xf numFmtId="4" fontId="7" fillId="0" borderId="3" xfId="0" applyNumberFormat="1" applyFont="1" applyFill="1" applyBorder="1"/>
    <xf numFmtId="2" fontId="6" fillId="0" borderId="43" xfId="0" applyNumberFormat="1" applyFont="1" applyFill="1" applyBorder="1"/>
    <xf numFmtId="4" fontId="4" fillId="0" borderId="25" xfId="0" applyNumberFormat="1" applyFont="1" applyFill="1" applyBorder="1" applyAlignment="1">
      <alignment horizontal="center"/>
    </xf>
    <xf numFmtId="4" fontId="7" fillId="0" borderId="30" xfId="0" applyNumberFormat="1" applyFont="1" applyFill="1" applyBorder="1"/>
    <xf numFmtId="1" fontId="9" fillId="0" borderId="26" xfId="1" applyNumberFormat="1" applyFont="1" applyFill="1" applyBorder="1" applyAlignment="1">
      <alignment horizontal="center"/>
    </xf>
    <xf numFmtId="165" fontId="3" fillId="0" borderId="3" xfId="1" applyFont="1" applyFill="1" applyBorder="1" applyAlignment="1">
      <alignment horizontal="left"/>
    </xf>
    <xf numFmtId="165" fontId="4" fillId="0" borderId="3" xfId="0" applyNumberFormat="1" applyFont="1" applyFill="1" applyBorder="1" applyAlignment="1">
      <alignment horizontal="center"/>
    </xf>
    <xf numFmtId="2" fontId="4" fillId="0" borderId="38" xfId="0" applyNumberFormat="1" applyFont="1" applyFill="1" applyBorder="1"/>
    <xf numFmtId="4" fontId="7" fillId="0" borderId="3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4" fillId="2" borderId="24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9" fontId="4" fillId="2" borderId="6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5" fontId="4" fillId="3" borderId="24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165" fontId="4" fillId="0" borderId="3" xfId="0" applyNumberFormat="1" applyFont="1" applyFill="1" applyBorder="1" applyAlignment="1">
      <alignment horizontal="center" vertical="center"/>
    </xf>
    <xf numFmtId="165" fontId="4" fillId="0" borderId="4" xfId="0" applyNumberFormat="1" applyFont="1" applyFill="1" applyBorder="1" applyAlignment="1">
      <alignment horizontal="center" vertical="center"/>
    </xf>
    <xf numFmtId="165" fontId="4" fillId="0" borderId="24" xfId="0" applyNumberFormat="1" applyFont="1" applyFill="1" applyBorder="1" applyAlignment="1">
      <alignment horizontal="center" vertical="center"/>
    </xf>
    <xf numFmtId="165" fontId="4" fillId="0" borderId="23" xfId="0" applyNumberFormat="1" applyFont="1" applyFill="1" applyBorder="1" applyAlignment="1">
      <alignment horizontal="center" vertical="center"/>
    </xf>
    <xf numFmtId="1" fontId="9" fillId="0" borderId="16" xfId="1" applyNumberFormat="1" applyFont="1" applyFill="1" applyBorder="1" applyAlignment="1">
      <alignment horizontal="center"/>
    </xf>
    <xf numFmtId="165" fontId="3" fillId="0" borderId="25" xfId="1" applyFont="1" applyFill="1" applyBorder="1" applyAlignment="1">
      <alignment horizontal="left"/>
    </xf>
    <xf numFmtId="166" fontId="4" fillId="0" borderId="22" xfId="0" applyNumberFormat="1" applyFont="1" applyFill="1" applyBorder="1" applyAlignment="1">
      <alignment horizontal="center" vertical="center"/>
    </xf>
    <xf numFmtId="4" fontId="7" fillId="0" borderId="17" xfId="0" applyNumberFormat="1" applyFont="1" applyFill="1" applyBorder="1" applyAlignment="1"/>
    <xf numFmtId="165" fontId="4" fillId="0" borderId="6" xfId="0" applyFont="1" applyFill="1" applyBorder="1" applyAlignment="1">
      <alignment horizontal="center"/>
    </xf>
    <xf numFmtId="9" fontId="4" fillId="0" borderId="5" xfId="0" applyNumberFormat="1" applyFont="1" applyFill="1" applyBorder="1" applyAlignment="1">
      <alignment horizontal="center"/>
    </xf>
    <xf numFmtId="9" fontId="4" fillId="0" borderId="22" xfId="0" applyNumberFormat="1" applyFont="1" applyFill="1" applyBorder="1" applyAlignment="1">
      <alignment horizontal="center"/>
    </xf>
    <xf numFmtId="165" fontId="4" fillId="0" borderId="6" xfId="0" applyNumberFormat="1" applyFont="1" applyFill="1" applyBorder="1" applyAlignment="1">
      <alignment horizontal="center"/>
    </xf>
    <xf numFmtId="165" fontId="4" fillId="0" borderId="17" xfId="0" applyNumberFormat="1" applyFont="1" applyFill="1" applyBorder="1" applyAlignment="1">
      <alignment horizontal="center"/>
    </xf>
    <xf numFmtId="165" fontId="4" fillId="0" borderId="7" xfId="0" applyFont="1" applyFill="1" applyBorder="1"/>
    <xf numFmtId="165" fontId="4" fillId="0" borderId="6" xfId="0" applyFont="1" applyFill="1" applyBorder="1"/>
    <xf numFmtId="165" fontId="4" fillId="0" borderId="17" xfId="0" applyFont="1" applyFill="1" applyBorder="1"/>
    <xf numFmtId="9" fontId="4" fillId="0" borderId="8" xfId="0" applyNumberFormat="1" applyFont="1" applyFill="1" applyBorder="1" applyAlignment="1">
      <alignment horizontal="center"/>
    </xf>
    <xf numFmtId="9" fontId="4" fillId="0" borderId="9" xfId="0" applyNumberFormat="1" applyFont="1" applyFill="1" applyBorder="1" applyAlignment="1">
      <alignment horizontal="center"/>
    </xf>
    <xf numFmtId="165" fontId="4" fillId="0" borderId="9" xfId="0" applyNumberFormat="1" applyFont="1" applyFill="1" applyBorder="1" applyAlignment="1">
      <alignment horizontal="center"/>
    </xf>
    <xf numFmtId="4" fontId="4" fillId="0" borderId="22" xfId="0" applyNumberFormat="1" applyFont="1" applyFill="1" applyBorder="1" applyAlignment="1">
      <alignment horizontal="center"/>
    </xf>
    <xf numFmtId="165" fontId="4" fillId="0" borderId="22" xfId="0" applyNumberFormat="1" applyFont="1" applyFill="1" applyBorder="1" applyAlignment="1">
      <alignment horizontal="center"/>
    </xf>
    <xf numFmtId="165" fontId="4" fillId="0" borderId="22" xfId="0" applyFont="1" applyFill="1" applyBorder="1"/>
    <xf numFmtId="165" fontId="4" fillId="0" borderId="19" xfId="0" applyFont="1" applyFill="1" applyBorder="1" applyAlignment="1">
      <alignment horizontal="center"/>
    </xf>
    <xf numFmtId="4" fontId="7" fillId="0" borderId="18" xfId="0" applyNumberFormat="1" applyFont="1" applyFill="1" applyBorder="1" applyAlignment="1"/>
    <xf numFmtId="165" fontId="4" fillId="0" borderId="0" xfId="0" applyFont="1" applyFill="1" applyBorder="1" applyAlignment="1">
      <alignment horizontal="center"/>
    </xf>
    <xf numFmtId="4" fontId="4" fillId="0" borderId="41" xfId="0" applyNumberFormat="1" applyFont="1" applyFill="1" applyBorder="1" applyAlignment="1">
      <alignment horizontal="center"/>
    </xf>
    <xf numFmtId="4" fontId="4" fillId="0" borderId="30" xfId="0" applyNumberFormat="1" applyFont="1" applyFill="1" applyBorder="1" applyAlignment="1">
      <alignment horizontal="center"/>
    </xf>
    <xf numFmtId="9" fontId="4" fillId="0" borderId="31" xfId="0" applyNumberFormat="1" applyFont="1" applyFill="1" applyBorder="1" applyAlignment="1">
      <alignment horizontal="center"/>
    </xf>
    <xf numFmtId="9" fontId="4" fillId="0" borderId="34" xfId="0" applyNumberFormat="1" applyFont="1" applyFill="1" applyBorder="1" applyAlignment="1">
      <alignment horizontal="center"/>
    </xf>
    <xf numFmtId="4" fontId="10" fillId="0" borderId="3" xfId="0" applyNumberFormat="1" applyFont="1" applyFill="1" applyBorder="1" applyAlignment="1">
      <alignment horizontal="center"/>
    </xf>
    <xf numFmtId="2" fontId="6" fillId="0" borderId="44" xfId="0" applyNumberFormat="1" applyFont="1" applyFill="1" applyBorder="1"/>
    <xf numFmtId="164" fontId="6" fillId="0" borderId="39" xfId="2" applyFont="1" applyFill="1" applyBorder="1"/>
    <xf numFmtId="165" fontId="4" fillId="0" borderId="18" xfId="0" applyFont="1" applyFill="1" applyBorder="1"/>
    <xf numFmtId="4" fontId="5" fillId="0" borderId="30" xfId="0" applyNumberFormat="1" applyFont="1" applyFill="1" applyBorder="1"/>
    <xf numFmtId="4" fontId="5" fillId="0" borderId="3" xfId="0" applyNumberFormat="1" applyFont="1" applyFill="1" applyBorder="1"/>
    <xf numFmtId="9" fontId="4" fillId="0" borderId="17" xfId="0" applyNumberFormat="1" applyFont="1" applyFill="1" applyBorder="1" applyAlignment="1">
      <alignment horizontal="center"/>
    </xf>
    <xf numFmtId="4" fontId="4" fillId="0" borderId="45" xfId="0" applyNumberFormat="1" applyFont="1" applyFill="1" applyBorder="1" applyAlignment="1">
      <alignment horizontal="center"/>
    </xf>
    <xf numFmtId="9" fontId="4" fillId="0" borderId="3" xfId="0" applyNumberFormat="1" applyFont="1" applyFill="1" applyBorder="1" applyAlignment="1">
      <alignment horizontal="center"/>
    </xf>
    <xf numFmtId="4" fontId="7" fillId="0" borderId="24" xfId="0" applyNumberFormat="1" applyFont="1" applyFill="1" applyBorder="1" applyAlignment="1">
      <alignment horizontal="center"/>
    </xf>
    <xf numFmtId="165" fontId="4" fillId="0" borderId="25" xfId="0" applyNumberFormat="1" applyFont="1" applyFill="1" applyBorder="1" applyAlignment="1">
      <alignment horizontal="center"/>
    </xf>
    <xf numFmtId="4" fontId="0" fillId="0" borderId="0" xfId="0" applyNumberFormat="1"/>
    <xf numFmtId="1" fontId="9" fillId="0" borderId="46" xfId="1" applyNumberFormat="1" applyFont="1" applyFill="1" applyBorder="1" applyAlignment="1">
      <alignment horizontal="center"/>
    </xf>
    <xf numFmtId="165" fontId="3" fillId="0" borderId="45" xfId="1" applyFont="1" applyFill="1" applyBorder="1" applyAlignment="1">
      <alignment horizontal="left"/>
    </xf>
    <xf numFmtId="165" fontId="0" fillId="0" borderId="3" xfId="0" applyBorder="1"/>
    <xf numFmtId="4" fontId="0" fillId="0" borderId="3" xfId="0" applyNumberFormat="1" applyBorder="1"/>
    <xf numFmtId="1" fontId="9" fillId="0" borderId="3" xfId="1" applyNumberFormat="1" applyFont="1" applyFill="1" applyBorder="1" applyAlignment="1">
      <alignment horizontal="center"/>
    </xf>
    <xf numFmtId="1" fontId="3" fillId="0" borderId="3" xfId="1" applyNumberFormat="1" applyFont="1" applyFill="1" applyBorder="1" applyAlignment="1">
      <alignment horizontal="center"/>
    </xf>
    <xf numFmtId="167" fontId="4" fillId="0" borderId="3" xfId="0" applyNumberFormat="1" applyFont="1" applyFill="1" applyBorder="1" applyAlignment="1">
      <alignment horizontal="center" vertical="center"/>
    </xf>
    <xf numFmtId="167" fontId="11" fillId="0" borderId="3" xfId="0" applyNumberFormat="1" applyFont="1" applyBorder="1"/>
    <xf numFmtId="167" fontId="11" fillId="0" borderId="0" xfId="0" applyNumberFormat="1" applyFont="1"/>
    <xf numFmtId="164" fontId="0" fillId="0" borderId="3" xfId="2" applyFont="1" applyBorder="1"/>
    <xf numFmtId="2" fontId="0" fillId="0" borderId="0" xfId="0" applyNumberFormat="1"/>
    <xf numFmtId="4" fontId="0" fillId="4" borderId="24" xfId="0" applyNumberFormat="1" applyFill="1" applyBorder="1"/>
    <xf numFmtId="165" fontId="0" fillId="4" borderId="0" xfId="0" applyFill="1"/>
    <xf numFmtId="167" fontId="11" fillId="4" borderId="3" xfId="0" applyNumberFormat="1" applyFont="1" applyFill="1" applyBorder="1"/>
    <xf numFmtId="4" fontId="0" fillId="4" borderId="3" xfId="0" applyNumberFormat="1" applyFill="1" applyBorder="1"/>
    <xf numFmtId="168" fontId="0" fillId="4" borderId="3" xfId="2" applyNumberFormat="1" applyFont="1" applyFill="1" applyBorder="1"/>
    <xf numFmtId="4" fontId="0" fillId="0" borderId="30" xfId="0" applyNumberFormat="1" applyBorder="1"/>
    <xf numFmtId="164" fontId="4" fillId="0" borderId="30" xfId="2" applyFont="1" applyFill="1" applyBorder="1"/>
    <xf numFmtId="164" fontId="4" fillId="0" borderId="37" xfId="2" applyFont="1" applyFill="1" applyBorder="1"/>
    <xf numFmtId="164" fontId="6" fillId="0" borderId="44" xfId="2" applyFont="1" applyFill="1" applyBorder="1"/>
    <xf numFmtId="164" fontId="5" fillId="0" borderId="30" xfId="2" applyFont="1" applyFill="1" applyBorder="1"/>
    <xf numFmtId="164" fontId="4" fillId="0" borderId="38" xfId="2" applyFont="1" applyFill="1" applyBorder="1"/>
    <xf numFmtId="164" fontId="5" fillId="0" borderId="3" xfId="2" applyFont="1" applyFill="1" applyBorder="1"/>
    <xf numFmtId="164" fontId="6" fillId="0" borderId="38" xfId="2" applyFont="1" applyFill="1" applyBorder="1"/>
    <xf numFmtId="164" fontId="4" fillId="0" borderId="33" xfId="2" applyFont="1" applyFill="1" applyBorder="1"/>
    <xf numFmtId="164" fontId="6" fillId="0" borderId="33" xfId="2" applyFont="1" applyFill="1" applyBorder="1"/>
    <xf numFmtId="167" fontId="11" fillId="4" borderId="4" xfId="0" applyNumberFormat="1" applyFont="1" applyFill="1" applyBorder="1"/>
    <xf numFmtId="168" fontId="0" fillId="4" borderId="4" xfId="2" applyNumberFormat="1" applyFont="1" applyFill="1" applyBorder="1"/>
    <xf numFmtId="2" fontId="11" fillId="0" borderId="22" xfId="0" applyNumberFormat="1" applyFont="1" applyBorder="1"/>
    <xf numFmtId="167" fontId="11" fillId="0" borderId="22" xfId="0" applyNumberFormat="1" applyFont="1" applyBorder="1"/>
    <xf numFmtId="167" fontId="11" fillId="3" borderId="8" xfId="0" applyNumberFormat="1" applyFont="1" applyFill="1" applyBorder="1"/>
    <xf numFmtId="2" fontId="11" fillId="3" borderId="22" xfId="0" applyNumberFormat="1" applyFont="1" applyFill="1" applyBorder="1"/>
    <xf numFmtId="167" fontId="11" fillId="3" borderId="22" xfId="0" applyNumberFormat="1" applyFont="1" applyFill="1" applyBorder="1"/>
    <xf numFmtId="167" fontId="11" fillId="3" borderId="14" xfId="0" applyNumberFormat="1" applyFont="1" applyFill="1" applyBorder="1"/>
    <xf numFmtId="168" fontId="0" fillId="3" borderId="49" xfId="2" applyNumberFormat="1" applyFont="1" applyFill="1" applyBorder="1"/>
    <xf numFmtId="2" fontId="0" fillId="3" borderId="30" xfId="0" applyNumberFormat="1" applyFill="1" applyBorder="1"/>
    <xf numFmtId="4" fontId="0" fillId="3" borderId="30" xfId="0" applyNumberFormat="1" applyFill="1" applyBorder="1"/>
    <xf numFmtId="168" fontId="0" fillId="3" borderId="26" xfId="2" applyNumberFormat="1" applyFont="1" applyFill="1" applyBorder="1"/>
    <xf numFmtId="2" fontId="0" fillId="3" borderId="3" xfId="0" applyNumberFormat="1" applyFill="1" applyBorder="1"/>
    <xf numFmtId="4" fontId="0" fillId="3" borderId="3" xfId="0" applyNumberFormat="1" applyFill="1" applyBorder="1"/>
    <xf numFmtId="168" fontId="0" fillId="3" borderId="27" xfId="2" applyNumberFormat="1" applyFont="1" applyFill="1" applyBorder="1"/>
    <xf numFmtId="2" fontId="0" fillId="3" borderId="28" xfId="0" applyNumberFormat="1" applyFill="1" applyBorder="1"/>
    <xf numFmtId="4" fontId="0" fillId="3" borderId="28" xfId="0" applyNumberFormat="1" applyFill="1" applyBorder="1"/>
    <xf numFmtId="167" fontId="11" fillId="3" borderId="9" xfId="0" applyNumberFormat="1" applyFont="1" applyFill="1" applyBorder="1"/>
    <xf numFmtId="4" fontId="0" fillId="3" borderId="50" xfId="0" applyNumberFormat="1" applyFill="1" applyBorder="1"/>
    <xf numFmtId="4" fontId="0" fillId="3" borderId="4" xfId="0" applyNumberFormat="1" applyFill="1" applyBorder="1"/>
    <xf numFmtId="4" fontId="0" fillId="3" borderId="29" xfId="0" applyNumberFormat="1" applyFill="1" applyBorder="1"/>
    <xf numFmtId="4" fontId="0" fillId="0" borderId="16" xfId="0" applyNumberFormat="1" applyBorder="1"/>
    <xf numFmtId="164" fontId="0" fillId="0" borderId="25" xfId="2" applyFont="1" applyBorder="1"/>
    <xf numFmtId="164" fontId="0" fillId="0" borderId="54" xfId="2" applyFont="1" applyBorder="1"/>
    <xf numFmtId="4" fontId="0" fillId="0" borderId="26" xfId="0" applyNumberFormat="1" applyBorder="1"/>
    <xf numFmtId="164" fontId="0" fillId="0" borderId="47" xfId="2" applyFont="1" applyBorder="1"/>
    <xf numFmtId="4" fontId="0" fillId="0" borderId="27" xfId="0" applyNumberFormat="1" applyBorder="1"/>
    <xf numFmtId="164" fontId="0" fillId="0" borderId="28" xfId="2" applyFont="1" applyBorder="1"/>
    <xf numFmtId="164" fontId="0" fillId="0" borderId="48" xfId="2" applyFont="1" applyBorder="1"/>
    <xf numFmtId="165" fontId="11" fillId="3" borderId="9" xfId="0" applyFont="1" applyFill="1" applyBorder="1" applyAlignment="1">
      <alignment horizontal="center"/>
    </xf>
    <xf numFmtId="166" fontId="4" fillId="0" borderId="9" xfId="0" applyNumberFormat="1" applyFont="1" applyFill="1" applyBorder="1" applyAlignment="1">
      <alignment horizontal="center" vertical="center"/>
    </xf>
    <xf numFmtId="165" fontId="4" fillId="0" borderId="17" xfId="0" applyFont="1" applyFill="1" applyBorder="1" applyAlignment="1">
      <alignment horizontal="center"/>
    </xf>
    <xf numFmtId="165" fontId="4" fillId="0" borderId="18" xfId="0" applyFont="1" applyFill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4" fontId="4" fillId="0" borderId="18" xfId="0" applyNumberFormat="1" applyFont="1" applyFill="1" applyBorder="1" applyAlignment="1">
      <alignment horizontal="center"/>
    </xf>
    <xf numFmtId="4" fontId="0" fillId="3" borderId="2" xfId="0" applyNumberFormat="1" applyFill="1" applyBorder="1"/>
    <xf numFmtId="165" fontId="11" fillId="3" borderId="6" xfId="0" applyFont="1" applyFill="1" applyBorder="1" applyAlignment="1">
      <alignment horizontal="center"/>
    </xf>
    <xf numFmtId="167" fontId="11" fillId="3" borderId="3" xfId="0" applyNumberFormat="1" applyFont="1" applyFill="1" applyBorder="1"/>
    <xf numFmtId="165" fontId="5" fillId="0" borderId="0" xfId="0" applyFont="1" applyFill="1" applyAlignment="1">
      <alignment horizontal="center"/>
    </xf>
    <xf numFmtId="4" fontId="5" fillId="4" borderId="30" xfId="0" applyNumberFormat="1" applyFont="1" applyFill="1" applyBorder="1"/>
    <xf numFmtId="4" fontId="5" fillId="4" borderId="3" xfId="0" applyNumberFormat="1" applyFont="1" applyFill="1" applyBorder="1"/>
    <xf numFmtId="4" fontId="4" fillId="0" borderId="3" xfId="0" applyNumberFormat="1" applyFont="1" applyFill="1" applyBorder="1" applyAlignment="1">
      <alignment horizontal="center"/>
    </xf>
    <xf numFmtId="4" fontId="4" fillId="3" borderId="24" xfId="0" applyNumberFormat="1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4" fontId="4" fillId="3" borderId="30" xfId="0" applyNumberFormat="1" applyFont="1" applyFill="1" applyBorder="1"/>
    <xf numFmtId="4" fontId="4" fillId="3" borderId="3" xfId="0" applyNumberFormat="1" applyFont="1" applyFill="1" applyBorder="1"/>
    <xf numFmtId="4" fontId="4" fillId="4" borderId="20" xfId="0" applyNumberFormat="1" applyFont="1" applyFill="1" applyBorder="1" applyAlignment="1">
      <alignment horizontal="center"/>
    </xf>
    <xf numFmtId="4" fontId="4" fillId="4" borderId="21" xfId="0" applyNumberFormat="1" applyFont="1" applyFill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4" fontId="4" fillId="0" borderId="18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66" fontId="4" fillId="2" borderId="15" xfId="0" applyNumberFormat="1" applyFont="1" applyFill="1" applyBorder="1" applyAlignment="1">
      <alignment horizontal="center" vertical="center"/>
    </xf>
    <xf numFmtId="166" fontId="4" fillId="2" borderId="9" xfId="0" applyNumberFormat="1" applyFont="1" applyFill="1" applyBorder="1" applyAlignment="1">
      <alignment horizontal="center" vertical="center"/>
    </xf>
    <xf numFmtId="166" fontId="4" fillId="2" borderId="14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166" fontId="3" fillId="2" borderId="9" xfId="0" applyNumberFormat="1" applyFont="1" applyFill="1" applyBorder="1" applyAlignment="1">
      <alignment horizontal="center" vertical="center"/>
    </xf>
    <xf numFmtId="166" fontId="3" fillId="2" borderId="14" xfId="0" applyNumberFormat="1" applyFont="1" applyFill="1" applyBorder="1" applyAlignment="1">
      <alignment horizontal="center" vertical="center"/>
    </xf>
    <xf numFmtId="166" fontId="3" fillId="2" borderId="15" xfId="0" applyNumberFormat="1" applyFont="1" applyFill="1" applyBorder="1" applyAlignment="1">
      <alignment horizontal="center" vertical="center"/>
    </xf>
    <xf numFmtId="166" fontId="4" fillId="0" borderId="8" xfId="0" applyNumberFormat="1" applyFont="1" applyFill="1" applyBorder="1" applyAlignment="1">
      <alignment horizontal="center" vertical="center"/>
    </xf>
    <xf numFmtId="166" fontId="4" fillId="0" borderId="9" xfId="0" applyNumberFormat="1" applyFont="1" applyFill="1" applyBorder="1" applyAlignment="1">
      <alignment horizontal="center" vertical="center"/>
    </xf>
    <xf numFmtId="166" fontId="4" fillId="0" borderId="6" xfId="0" applyNumberFormat="1" applyFont="1" applyFill="1" applyBorder="1" applyAlignment="1">
      <alignment horizontal="center" vertical="center"/>
    </xf>
    <xf numFmtId="166" fontId="4" fillId="0" borderId="10" xfId="0" applyNumberFormat="1" applyFont="1" applyFill="1" applyBorder="1" applyAlignment="1">
      <alignment horizontal="center" vertical="center"/>
    </xf>
    <xf numFmtId="165" fontId="6" fillId="0" borderId="20" xfId="0" applyFont="1" applyFill="1" applyBorder="1" applyAlignment="1">
      <alignment horizontal="center"/>
    </xf>
    <xf numFmtId="165" fontId="6" fillId="0" borderId="21" xfId="0" applyFont="1" applyFill="1" applyBorder="1" applyAlignment="1">
      <alignment horizontal="center"/>
    </xf>
    <xf numFmtId="165" fontId="4" fillId="0" borderId="17" xfId="0" applyFont="1" applyFill="1" applyBorder="1" applyAlignment="1">
      <alignment horizontal="center"/>
    </xf>
    <xf numFmtId="165" fontId="4" fillId="0" borderId="18" xfId="0" applyFont="1" applyFill="1" applyBorder="1" applyAlignment="1">
      <alignment horizontal="center"/>
    </xf>
    <xf numFmtId="166" fontId="4" fillId="0" borderId="17" xfId="0" applyNumberFormat="1" applyFont="1" applyFill="1" applyBorder="1" applyAlignment="1">
      <alignment horizontal="center" vertical="center"/>
    </xf>
    <xf numFmtId="166" fontId="4" fillId="0" borderId="19" xfId="0" applyNumberFormat="1" applyFont="1" applyFill="1" applyBorder="1" applyAlignment="1">
      <alignment horizontal="center" vertical="center"/>
    </xf>
    <xf numFmtId="165" fontId="4" fillId="0" borderId="20" xfId="0" applyFont="1" applyFill="1" applyBorder="1" applyAlignment="1">
      <alignment horizontal="center"/>
    </xf>
    <xf numFmtId="165" fontId="4" fillId="0" borderId="21" xfId="0" applyFont="1" applyFill="1" applyBorder="1" applyAlignment="1">
      <alignment horizontal="center"/>
    </xf>
    <xf numFmtId="165" fontId="5" fillId="0" borderId="13" xfId="0" applyFont="1" applyFill="1" applyBorder="1" applyAlignment="1">
      <alignment horizontal="left"/>
    </xf>
    <xf numFmtId="165" fontId="5" fillId="0" borderId="0" xfId="0" applyFont="1" applyFill="1" applyAlignment="1">
      <alignment horizontal="left"/>
    </xf>
    <xf numFmtId="4" fontId="4" fillId="0" borderId="3" xfId="0" applyNumberFormat="1" applyFont="1" applyFill="1" applyBorder="1" applyAlignment="1">
      <alignment horizontal="center"/>
    </xf>
    <xf numFmtId="165" fontId="11" fillId="3" borderId="8" xfId="0" applyFont="1" applyFill="1" applyBorder="1" applyAlignment="1">
      <alignment horizontal="center"/>
    </xf>
    <xf numFmtId="165" fontId="11" fillId="3" borderId="9" xfId="0" applyFont="1" applyFill="1" applyBorder="1" applyAlignment="1">
      <alignment horizontal="center"/>
    </xf>
    <xf numFmtId="165" fontId="11" fillId="0" borderId="51" xfId="0" applyFont="1" applyBorder="1" applyAlignment="1">
      <alignment horizontal="center"/>
    </xf>
    <xf numFmtId="165" fontId="11" fillId="0" borderId="52" xfId="0" applyFont="1" applyBorder="1" applyAlignment="1">
      <alignment horizontal="center"/>
    </xf>
    <xf numFmtId="165" fontId="11" fillId="0" borderId="53" xfId="0" applyFont="1" applyBorder="1" applyAlignment="1">
      <alignment horizontal="center"/>
    </xf>
  </cellXfs>
  <cellStyles count="3">
    <cellStyle name="Millares" xfId="2" builtinId="3"/>
    <cellStyle name="Normal" xfId="0" builtinId="0"/>
    <cellStyle name="Normal_Hoja1" xfId="1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mruColors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MO.%20JUNIO%201&#186;QUINCENA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ON"/>
      <sheetName val="NO REM. MAYO 2021"/>
      <sheetName val="Hoja1"/>
    </sheetNames>
    <sheetDataSet>
      <sheetData sheetId="0"/>
      <sheetData sheetId="1"/>
      <sheetData sheetId="2">
        <row r="3">
          <cell r="C3">
            <v>37408.574120000005</v>
          </cell>
        </row>
        <row r="4">
          <cell r="C4">
            <v>100296.52980000002</v>
          </cell>
        </row>
        <row r="5">
          <cell r="C5">
            <v>93858.63400000002</v>
          </cell>
        </row>
        <row r="6">
          <cell r="C6">
            <v>83513.497199999998</v>
          </cell>
        </row>
        <row r="7">
          <cell r="C7">
            <v>78741.297359999997</v>
          </cell>
        </row>
        <row r="8">
          <cell r="C8">
            <v>83513.497199999998</v>
          </cell>
        </row>
        <row r="9">
          <cell r="C9">
            <v>73806.9516</v>
          </cell>
        </row>
        <row r="10">
          <cell r="C10">
            <v>94250.94683999999</v>
          </cell>
        </row>
        <row r="11">
          <cell r="C11">
            <v>64299.451680000006</v>
          </cell>
        </row>
        <row r="12">
          <cell r="C12">
            <v>89478.746999999988</v>
          </cell>
        </row>
        <row r="13">
          <cell r="C13">
            <v>99619.671659999993</v>
          </cell>
        </row>
        <row r="14">
          <cell r="C14">
            <v>72085.345400000006</v>
          </cell>
        </row>
        <row r="15">
          <cell r="C15">
            <v>46657.250719999996</v>
          </cell>
        </row>
        <row r="16">
          <cell r="C16">
            <v>98815.20594</v>
          </cell>
        </row>
        <row r="17">
          <cell r="C17">
            <v>99604.149699999994</v>
          </cell>
        </row>
        <row r="18">
          <cell r="C18">
            <v>95067.723080000011</v>
          </cell>
        </row>
        <row r="19">
          <cell r="C19">
            <v>79626.049079999997</v>
          </cell>
        </row>
        <row r="20">
          <cell r="C20">
            <v>63115.500799999994</v>
          </cell>
        </row>
        <row r="21">
          <cell r="C21">
            <v>94311.60530000001</v>
          </cell>
        </row>
        <row r="22">
          <cell r="C22">
            <v>65704.99192</v>
          </cell>
        </row>
        <row r="23">
          <cell r="C23">
            <v>91911.948040000003</v>
          </cell>
        </row>
        <row r="24">
          <cell r="C24">
            <v>93361.096400000009</v>
          </cell>
        </row>
        <row r="25">
          <cell r="C25">
            <v>92728.724279999995</v>
          </cell>
        </row>
        <row r="26">
          <cell r="C26">
            <v>91163.682520000002</v>
          </cell>
        </row>
        <row r="27">
          <cell r="C27">
            <v>77469.567119999992</v>
          </cell>
        </row>
        <row r="28">
          <cell r="C28">
            <v>29810.399999999998</v>
          </cell>
        </row>
        <row r="29">
          <cell r="C29">
            <v>63409.204999999994</v>
          </cell>
        </row>
        <row r="30">
          <cell r="C30">
            <v>35794.175000000003</v>
          </cell>
        </row>
        <row r="31">
          <cell r="C31">
            <v>85758.828999999998</v>
          </cell>
        </row>
        <row r="32">
          <cell r="C32">
            <v>86437.914750000011</v>
          </cell>
        </row>
        <row r="33">
          <cell r="C33">
            <v>67383.924999999988</v>
          </cell>
        </row>
        <row r="34">
          <cell r="C34">
            <v>32099.200000000004</v>
          </cell>
        </row>
        <row r="35">
          <cell r="C35">
            <v>97171.483899999992</v>
          </cell>
        </row>
        <row r="36">
          <cell r="C36">
            <v>0</v>
          </cell>
        </row>
        <row r="37">
          <cell r="C37">
            <v>85143.302999999985</v>
          </cell>
        </row>
        <row r="38">
          <cell r="C38">
            <v>87508.394750000007</v>
          </cell>
        </row>
        <row r="39">
          <cell r="C39">
            <v>85143.302999999985</v>
          </cell>
        </row>
        <row r="40">
          <cell r="C40">
            <v>76312.13979999999</v>
          </cell>
        </row>
        <row r="41">
          <cell r="C41">
            <v>50017.432000000008</v>
          </cell>
        </row>
        <row r="42">
          <cell r="C42">
            <v>49399.9758</v>
          </cell>
        </row>
        <row r="43">
          <cell r="C43">
            <v>71014.321200000006</v>
          </cell>
        </row>
        <row r="44">
          <cell r="C44">
            <v>84429.292840000009</v>
          </cell>
        </row>
        <row r="45">
          <cell r="C45">
            <v>84429.292840000009</v>
          </cell>
        </row>
        <row r="46">
          <cell r="C46">
            <v>65590.332599999994</v>
          </cell>
        </row>
        <row r="47">
          <cell r="C47">
            <v>70197.796480000019</v>
          </cell>
        </row>
        <row r="48">
          <cell r="C48">
            <v>74335.710279999999</v>
          </cell>
        </row>
        <row r="49">
          <cell r="C49">
            <v>79084.520010000007</v>
          </cell>
        </row>
        <row r="50">
          <cell r="C50">
            <v>56844.954919999996</v>
          </cell>
        </row>
        <row r="51">
          <cell r="C51">
            <v>81381.503000000012</v>
          </cell>
        </row>
        <row r="52">
          <cell r="C52">
            <v>73018.090599999996</v>
          </cell>
        </row>
        <row r="53">
          <cell r="C53">
            <v>78304.468199999988</v>
          </cell>
        </row>
        <row r="54">
          <cell r="C54">
            <v>63684.330150000002</v>
          </cell>
        </row>
        <row r="55">
          <cell r="C55">
            <v>69383.705999999991</v>
          </cell>
        </row>
        <row r="56">
          <cell r="C56">
            <v>69383.705999999991</v>
          </cell>
        </row>
        <row r="57">
          <cell r="C57">
            <v>73018.090599999996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CX91"/>
  <sheetViews>
    <sheetView tabSelected="1" topLeftCell="B32" zoomScaleNormal="100" workbookViewId="0">
      <selection activeCell="CB7" sqref="CB7:CB64"/>
    </sheetView>
  </sheetViews>
  <sheetFormatPr baseColWidth="10" defaultRowHeight="12.75" x14ac:dyDescent="0.2"/>
  <cols>
    <col min="1" max="1" width="11.5703125" style="2" customWidth="1"/>
    <col min="2" max="2" width="33" style="2" bestFit="1" customWidth="1"/>
    <col min="3" max="3" width="3.85546875" style="2" hidden="1" customWidth="1"/>
    <col min="4" max="4" width="4.28515625" style="2" hidden="1" customWidth="1"/>
    <col min="5" max="5" width="5.28515625" style="2" hidden="1" customWidth="1"/>
    <col min="6" max="8" width="3.7109375" style="2" hidden="1" customWidth="1"/>
    <col min="9" max="9" width="4.7109375" style="2" hidden="1" customWidth="1"/>
    <col min="10" max="11" width="3.7109375" style="2" hidden="1" customWidth="1"/>
    <col min="12" max="12" width="3.85546875" style="2" hidden="1" customWidth="1"/>
    <col min="13" max="13" width="4.7109375" style="2" hidden="1" customWidth="1"/>
    <col min="14" max="14" width="3.28515625" style="2" hidden="1" customWidth="1"/>
    <col min="15" max="16" width="3.7109375" style="2" hidden="1" customWidth="1"/>
    <col min="17" max="17" width="4.7109375" style="2" hidden="1" customWidth="1"/>
    <col min="18" max="20" width="3.7109375" style="2" hidden="1" customWidth="1"/>
    <col min="21" max="21" width="4.7109375" style="2" hidden="1" customWidth="1"/>
    <col min="22" max="24" width="3.7109375" style="2" hidden="1" customWidth="1"/>
    <col min="25" max="25" width="4.7109375" style="2" hidden="1" customWidth="1"/>
    <col min="26" max="28" width="3.7109375" style="2" hidden="1" customWidth="1"/>
    <col min="29" max="29" width="4.7109375" style="2" hidden="1" customWidth="1"/>
    <col min="30" max="32" width="3.7109375" style="2" hidden="1" customWidth="1"/>
    <col min="33" max="33" width="4.7109375" style="2" hidden="1" customWidth="1"/>
    <col min="34" max="36" width="3.7109375" style="2" hidden="1" customWidth="1"/>
    <col min="37" max="37" width="4.7109375" style="2" hidden="1" customWidth="1"/>
    <col min="38" max="40" width="3.7109375" style="2" hidden="1" customWidth="1"/>
    <col min="41" max="41" width="4.7109375" style="2" hidden="1" customWidth="1"/>
    <col min="42" max="44" width="3.7109375" style="2" hidden="1" customWidth="1"/>
    <col min="45" max="45" width="4.7109375" style="2" hidden="1" customWidth="1"/>
    <col min="46" max="48" width="3.7109375" style="2" hidden="1" customWidth="1"/>
    <col min="49" max="50" width="13.7109375" style="2" hidden="1" customWidth="1"/>
    <col min="51" max="51" width="0.28515625" style="2" customWidth="1"/>
    <col min="52" max="52" width="13.140625" style="2" hidden="1" customWidth="1"/>
    <col min="53" max="53" width="12.85546875" style="2" hidden="1" customWidth="1"/>
    <col min="54" max="54" width="0.28515625" style="2" customWidth="1"/>
    <col min="55" max="55" width="6.28515625" style="2" hidden="1" customWidth="1"/>
    <col min="56" max="56" width="4.28515625" style="2" hidden="1" customWidth="1"/>
    <col min="57" max="57" width="5.28515625" style="2" hidden="1" customWidth="1"/>
    <col min="58" max="59" width="6.28515625" style="2" hidden="1" customWidth="1"/>
    <col min="60" max="60" width="4.28515625" style="2" hidden="1" customWidth="1"/>
    <col min="61" max="61" width="7.7109375" style="2" hidden="1" customWidth="1"/>
    <col min="62" max="62" width="0.5703125" style="2" customWidth="1"/>
    <col min="63" max="63" width="9.7109375" style="2" bestFit="1" customWidth="1"/>
    <col min="64" max="64" width="8.28515625" style="2" bestFit="1" customWidth="1"/>
    <col min="65" max="65" width="9.7109375" style="2" bestFit="1" customWidth="1"/>
    <col min="66" max="66" width="11.28515625" style="2" bestFit="1" customWidth="1"/>
    <col min="67" max="67" width="11.85546875" style="2" customWidth="1"/>
    <col min="68" max="68" width="2" style="2" customWidth="1"/>
    <col min="69" max="69" width="0.42578125" style="21" customWidth="1"/>
    <col min="70" max="70" width="6.42578125" style="2" hidden="1" customWidth="1"/>
    <col min="71" max="71" width="8.85546875" style="2" hidden="1" customWidth="1"/>
    <col min="72" max="72" width="6.42578125" style="2" hidden="1" customWidth="1"/>
    <col min="73" max="73" width="8.85546875" style="2" hidden="1" customWidth="1"/>
    <col min="74" max="74" width="11.28515625" style="2" hidden="1" customWidth="1"/>
    <col min="75" max="75" width="5.42578125" style="2" hidden="1" customWidth="1"/>
    <col min="76" max="76" width="9" style="2" hidden="1" customWidth="1"/>
    <col min="77" max="77" width="11.85546875" style="2" customWidth="1"/>
    <col min="78" max="78" width="0.42578125" style="2" customWidth="1"/>
    <col min="79" max="79" width="10.140625" style="2" hidden="1" customWidth="1"/>
    <col min="80" max="80" width="11.5703125" style="2" customWidth="1"/>
    <col min="81" max="81" width="8.140625" style="2" customWidth="1"/>
    <col min="82" max="82" width="5.5703125" style="2" customWidth="1"/>
    <col min="83" max="83" width="8.28515625" style="2" customWidth="1"/>
    <col min="84" max="84" width="5.42578125" style="2" customWidth="1"/>
    <col min="85" max="85" width="8.140625" style="2" customWidth="1"/>
    <col min="86" max="86" width="11.85546875" style="41" hidden="1" customWidth="1"/>
    <col min="87" max="87" width="8.42578125" style="1" customWidth="1"/>
    <col min="88" max="88" width="8" style="1" customWidth="1"/>
    <col min="89" max="89" width="13.5703125" style="1" customWidth="1"/>
    <col min="90" max="90" width="9.140625" style="1" hidden="1" customWidth="1"/>
    <col min="91" max="91" width="13.140625" style="1" hidden="1" customWidth="1"/>
    <col min="92" max="92" width="0.28515625" style="2" customWidth="1"/>
    <col min="93" max="93" width="11.5703125" style="2" customWidth="1"/>
    <col min="94" max="94" width="8.42578125" style="2" hidden="1" customWidth="1"/>
    <col min="95" max="95" width="13.7109375" style="4" bestFit="1" customWidth="1"/>
    <col min="96" max="96" width="13.85546875" style="2" customWidth="1"/>
    <col min="97" max="97" width="11.5703125" style="2" customWidth="1"/>
    <col min="98" max="98" width="12.28515625" style="2" customWidth="1"/>
    <col min="99" max="99" width="18.28515625" style="2" customWidth="1"/>
    <col min="100" max="100" width="9.140625" style="1" hidden="1" customWidth="1"/>
    <col min="101" max="101" width="0.42578125" style="1" customWidth="1"/>
    <col min="102" max="102" width="11.140625" style="2" bestFit="1" customWidth="1"/>
    <col min="103" max="16384" width="11.42578125" style="2"/>
  </cols>
  <sheetData>
    <row r="1" spans="1:102" ht="11.1" customHeight="1" thickBot="1" x14ac:dyDescent="0.25">
      <c r="D1" s="10" t="s">
        <v>6</v>
      </c>
      <c r="E1" s="201" t="s">
        <v>13</v>
      </c>
      <c r="F1" s="202"/>
      <c r="G1" s="202"/>
      <c r="H1" s="11" t="s">
        <v>8</v>
      </c>
      <c r="I1" s="201" t="s">
        <v>15</v>
      </c>
      <c r="J1" s="202"/>
      <c r="K1" s="202"/>
      <c r="L1" s="12" t="s">
        <v>12</v>
      </c>
      <c r="M1" s="13" t="s">
        <v>17</v>
      </c>
      <c r="N1" s="14"/>
      <c r="O1" s="14"/>
    </row>
    <row r="2" spans="1:102" ht="11.1" hidden="1" customHeight="1" x14ac:dyDescent="0.2">
      <c r="D2" s="10" t="s">
        <v>7</v>
      </c>
      <c r="E2" s="201" t="s">
        <v>14</v>
      </c>
      <c r="F2" s="202"/>
      <c r="G2" s="202"/>
      <c r="H2" s="10" t="s">
        <v>11</v>
      </c>
      <c r="I2" s="201" t="s">
        <v>16</v>
      </c>
      <c r="J2" s="202"/>
      <c r="K2" s="202"/>
      <c r="CV2" s="2"/>
      <c r="CW2" s="2"/>
    </row>
    <row r="3" spans="1:102" ht="15" hidden="1" customHeight="1" x14ac:dyDescent="0.2">
      <c r="A3" s="179" t="s">
        <v>0</v>
      </c>
      <c r="B3" s="179"/>
      <c r="C3" s="181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79"/>
      <c r="BC3" s="179"/>
      <c r="BD3" s="179"/>
      <c r="BE3" s="179"/>
      <c r="BF3" s="179"/>
      <c r="BG3" s="179"/>
      <c r="BH3" s="179"/>
      <c r="BI3" s="179"/>
      <c r="BJ3" s="179"/>
      <c r="BK3" s="179"/>
      <c r="BL3" s="179"/>
      <c r="BM3" s="179"/>
      <c r="BN3" s="179"/>
      <c r="BO3" s="179"/>
      <c r="BP3" s="53"/>
      <c r="BQ3" s="53"/>
      <c r="BR3" s="53"/>
      <c r="CV3" s="2"/>
      <c r="CW3" s="2"/>
    </row>
    <row r="4" spans="1:102" ht="27" hidden="1" customHeight="1" thickBot="1" x14ac:dyDescent="0.25">
      <c r="A4" s="180"/>
      <c r="B4" s="180"/>
      <c r="C4" s="18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53"/>
      <c r="BQ4" s="53"/>
      <c r="BR4" s="53"/>
      <c r="CV4" s="2"/>
      <c r="CW4" s="2"/>
    </row>
    <row r="5" spans="1:102" s="21" customFormat="1" ht="12" customHeight="1" thickBot="1" x14ac:dyDescent="0.25">
      <c r="A5" s="62" t="s">
        <v>1</v>
      </c>
      <c r="B5" s="63" t="s">
        <v>2</v>
      </c>
      <c r="C5" s="185">
        <v>1</v>
      </c>
      <c r="D5" s="186"/>
      <c r="E5" s="186"/>
      <c r="F5" s="187"/>
      <c r="G5" s="182">
        <v>2</v>
      </c>
      <c r="H5" s="183"/>
      <c r="I5" s="183"/>
      <c r="J5" s="184"/>
      <c r="K5" s="182">
        <v>3</v>
      </c>
      <c r="L5" s="183"/>
      <c r="M5" s="183"/>
      <c r="N5" s="184"/>
      <c r="O5" s="182">
        <v>4</v>
      </c>
      <c r="P5" s="183"/>
      <c r="Q5" s="183"/>
      <c r="R5" s="184"/>
      <c r="S5" s="188">
        <v>5</v>
      </c>
      <c r="T5" s="186"/>
      <c r="U5" s="186"/>
      <c r="V5" s="187"/>
      <c r="W5" s="188">
        <v>6</v>
      </c>
      <c r="X5" s="186"/>
      <c r="Y5" s="186"/>
      <c r="Z5" s="187"/>
      <c r="AA5" s="182">
        <v>7</v>
      </c>
      <c r="AB5" s="183"/>
      <c r="AC5" s="183"/>
      <c r="AD5" s="184"/>
      <c r="AE5" s="182">
        <v>8</v>
      </c>
      <c r="AF5" s="183"/>
      <c r="AG5" s="183"/>
      <c r="AH5" s="184"/>
      <c r="AI5" s="182">
        <v>9</v>
      </c>
      <c r="AJ5" s="183"/>
      <c r="AK5" s="183"/>
      <c r="AL5" s="184"/>
      <c r="AM5" s="182">
        <v>10</v>
      </c>
      <c r="AN5" s="183"/>
      <c r="AO5" s="183"/>
      <c r="AP5" s="184"/>
      <c r="AQ5" s="182">
        <v>11</v>
      </c>
      <c r="AR5" s="183"/>
      <c r="AS5" s="183"/>
      <c r="AT5" s="184"/>
      <c r="AU5" s="182">
        <v>12</v>
      </c>
      <c r="AV5" s="183"/>
      <c r="AW5" s="183"/>
      <c r="AX5" s="184"/>
      <c r="AY5" s="188">
        <v>13</v>
      </c>
      <c r="AZ5" s="186"/>
      <c r="BA5" s="186"/>
      <c r="BB5" s="187"/>
      <c r="BC5" s="182">
        <v>14</v>
      </c>
      <c r="BD5" s="183"/>
      <c r="BE5" s="183"/>
      <c r="BF5" s="184"/>
      <c r="BG5" s="182">
        <v>15</v>
      </c>
      <c r="BH5" s="183"/>
      <c r="BI5" s="183"/>
      <c r="BJ5" s="192"/>
      <c r="BK5" s="189" t="s">
        <v>151</v>
      </c>
      <c r="BL5" s="190"/>
      <c r="BM5" s="190"/>
      <c r="BN5" s="191"/>
      <c r="BO5" s="192"/>
      <c r="BP5" s="159"/>
      <c r="BQ5" s="159"/>
      <c r="BR5" s="68"/>
      <c r="BS5" s="189" t="s">
        <v>151</v>
      </c>
      <c r="BT5" s="190"/>
      <c r="BU5" s="190"/>
      <c r="BV5" s="191"/>
      <c r="BW5" s="191"/>
      <c r="BX5" s="191"/>
      <c r="BY5" s="192"/>
      <c r="BZ5" s="197" t="s">
        <v>20</v>
      </c>
      <c r="CA5" s="160" t="s">
        <v>19</v>
      </c>
      <c r="CB5" s="160"/>
      <c r="CC5" s="195" t="s">
        <v>28</v>
      </c>
      <c r="CD5" s="195" t="s">
        <v>22</v>
      </c>
      <c r="CE5" s="160"/>
      <c r="CF5" s="160"/>
      <c r="CG5" s="195" t="s">
        <v>29</v>
      </c>
      <c r="CH5" s="69" t="s">
        <v>88</v>
      </c>
      <c r="CI5" s="162" t="s">
        <v>73</v>
      </c>
      <c r="CJ5" s="162" t="s">
        <v>32</v>
      </c>
      <c r="CK5" s="177" t="s">
        <v>25</v>
      </c>
      <c r="CL5" s="160"/>
      <c r="CM5" s="160" t="s">
        <v>106</v>
      </c>
      <c r="CN5" s="195" t="s">
        <v>24</v>
      </c>
      <c r="CO5" s="199" t="s">
        <v>24</v>
      </c>
      <c r="CP5" s="70" t="s">
        <v>89</v>
      </c>
      <c r="CQ5" s="193" t="s">
        <v>26</v>
      </c>
      <c r="CR5" s="160" t="s">
        <v>101</v>
      </c>
      <c r="CS5" s="160" t="s">
        <v>88</v>
      </c>
      <c r="CT5" s="77" t="s">
        <v>91</v>
      </c>
      <c r="CU5" s="160" t="s">
        <v>93</v>
      </c>
      <c r="CV5" s="177" t="s">
        <v>112</v>
      </c>
      <c r="CW5" s="175" t="s">
        <v>100</v>
      </c>
      <c r="CX5" s="21" t="s">
        <v>111</v>
      </c>
    </row>
    <row r="6" spans="1:102" s="21" customFormat="1" ht="12.75" customHeight="1" thickBot="1" x14ac:dyDescent="0.25">
      <c r="A6" s="64"/>
      <c r="B6" s="65"/>
      <c r="C6" s="57" t="s">
        <v>3</v>
      </c>
      <c r="D6" s="58">
        <v>0.75</v>
      </c>
      <c r="E6" s="58">
        <v>1</v>
      </c>
      <c r="F6" s="59" t="s">
        <v>4</v>
      </c>
      <c r="G6" s="57" t="s">
        <v>3</v>
      </c>
      <c r="H6" s="58">
        <v>0.75</v>
      </c>
      <c r="I6" s="58">
        <v>1</v>
      </c>
      <c r="J6" s="59" t="s">
        <v>4</v>
      </c>
      <c r="K6" s="57" t="s">
        <v>3</v>
      </c>
      <c r="L6" s="58">
        <v>0.75</v>
      </c>
      <c r="M6" s="58">
        <v>1</v>
      </c>
      <c r="N6" s="59" t="s">
        <v>4</v>
      </c>
      <c r="O6" s="57" t="s">
        <v>3</v>
      </c>
      <c r="P6" s="58">
        <v>0.75</v>
      </c>
      <c r="Q6" s="58">
        <v>1</v>
      </c>
      <c r="R6" s="59" t="s">
        <v>4</v>
      </c>
      <c r="S6" s="57" t="s">
        <v>3</v>
      </c>
      <c r="T6" s="58">
        <v>0.75</v>
      </c>
      <c r="U6" s="58">
        <v>1</v>
      </c>
      <c r="V6" s="59" t="s">
        <v>4</v>
      </c>
      <c r="W6" s="57" t="s">
        <v>3</v>
      </c>
      <c r="X6" s="58">
        <v>0.75</v>
      </c>
      <c r="Y6" s="58">
        <v>1</v>
      </c>
      <c r="Z6" s="59" t="s">
        <v>4</v>
      </c>
      <c r="AA6" s="57" t="s">
        <v>3</v>
      </c>
      <c r="AB6" s="58">
        <v>0.75</v>
      </c>
      <c r="AC6" s="58">
        <v>1</v>
      </c>
      <c r="AD6" s="59" t="s">
        <v>4</v>
      </c>
      <c r="AE6" s="57" t="s">
        <v>3</v>
      </c>
      <c r="AF6" s="58">
        <v>0.75</v>
      </c>
      <c r="AG6" s="58">
        <v>1</v>
      </c>
      <c r="AH6" s="59" t="s">
        <v>4</v>
      </c>
      <c r="AI6" s="57" t="s">
        <v>3</v>
      </c>
      <c r="AJ6" s="58">
        <v>0.75</v>
      </c>
      <c r="AK6" s="58">
        <v>1</v>
      </c>
      <c r="AL6" s="59" t="s">
        <v>4</v>
      </c>
      <c r="AM6" s="57" t="s">
        <v>3</v>
      </c>
      <c r="AN6" s="58">
        <v>0.75</v>
      </c>
      <c r="AO6" s="58">
        <v>1</v>
      </c>
      <c r="AP6" s="59" t="s">
        <v>4</v>
      </c>
      <c r="AQ6" s="57" t="s">
        <v>3</v>
      </c>
      <c r="AR6" s="58">
        <v>0.75</v>
      </c>
      <c r="AS6" s="58">
        <v>1</v>
      </c>
      <c r="AT6" s="59" t="s">
        <v>4</v>
      </c>
      <c r="AU6" s="57" t="s">
        <v>3</v>
      </c>
      <c r="AV6" s="58">
        <v>0.75</v>
      </c>
      <c r="AW6" s="58">
        <v>1</v>
      </c>
      <c r="AX6" s="59" t="s">
        <v>4</v>
      </c>
      <c r="AY6" s="57" t="s">
        <v>3</v>
      </c>
      <c r="AZ6" s="58">
        <v>0.75</v>
      </c>
      <c r="BA6" s="58">
        <v>1</v>
      </c>
      <c r="BB6" s="59" t="s">
        <v>4</v>
      </c>
      <c r="BC6" s="57" t="s">
        <v>3</v>
      </c>
      <c r="BD6" s="58">
        <v>0.75</v>
      </c>
      <c r="BE6" s="58">
        <v>1</v>
      </c>
      <c r="BF6" s="59" t="s">
        <v>4</v>
      </c>
      <c r="BG6" s="57" t="s">
        <v>3</v>
      </c>
      <c r="BH6" s="58">
        <v>0.75</v>
      </c>
      <c r="BI6" s="58">
        <v>1</v>
      </c>
      <c r="BJ6" s="73" t="s">
        <v>4</v>
      </c>
      <c r="BK6" s="71">
        <v>0.75</v>
      </c>
      <c r="BL6" s="97">
        <v>1</v>
      </c>
      <c r="BM6" s="73" t="s">
        <v>4</v>
      </c>
      <c r="BN6" s="74" t="s">
        <v>30</v>
      </c>
      <c r="BO6" s="75" t="s">
        <v>18</v>
      </c>
      <c r="BP6" s="76"/>
      <c r="BQ6" s="76" t="s">
        <v>31</v>
      </c>
      <c r="BR6" s="77" t="s">
        <v>31</v>
      </c>
      <c r="BS6" s="78">
        <v>0.75</v>
      </c>
      <c r="BT6" s="72" t="s">
        <v>31</v>
      </c>
      <c r="BU6" s="79">
        <v>1</v>
      </c>
      <c r="BV6" s="80" t="s">
        <v>4</v>
      </c>
      <c r="BW6" s="81">
        <v>0.25</v>
      </c>
      <c r="BX6" s="82" t="s">
        <v>45</v>
      </c>
      <c r="BY6" s="83" t="s">
        <v>18</v>
      </c>
      <c r="BZ6" s="198"/>
      <c r="CA6" s="161" t="s">
        <v>27</v>
      </c>
      <c r="CB6" s="84" t="s">
        <v>21</v>
      </c>
      <c r="CC6" s="196"/>
      <c r="CD6" s="196"/>
      <c r="CE6" s="161" t="s">
        <v>23</v>
      </c>
      <c r="CF6" s="161"/>
      <c r="CG6" s="196"/>
      <c r="CH6" s="85" t="s">
        <v>87</v>
      </c>
      <c r="CI6" s="163" t="s">
        <v>74</v>
      </c>
      <c r="CJ6" s="163"/>
      <c r="CK6" s="178"/>
      <c r="CL6" s="161"/>
      <c r="CM6" s="161" t="s">
        <v>107</v>
      </c>
      <c r="CN6" s="196"/>
      <c r="CO6" s="200"/>
      <c r="CP6" s="86"/>
      <c r="CQ6" s="194"/>
      <c r="CR6" s="161" t="s">
        <v>113</v>
      </c>
      <c r="CS6" s="161"/>
      <c r="CT6" s="94" t="s">
        <v>92</v>
      </c>
      <c r="CU6" s="161"/>
      <c r="CV6" s="178"/>
      <c r="CW6" s="176"/>
    </row>
    <row r="7" spans="1:102" ht="16.5" customHeight="1" x14ac:dyDescent="0.25">
      <c r="A7" s="66">
        <v>1864</v>
      </c>
      <c r="B7" s="67" t="s">
        <v>5</v>
      </c>
      <c r="C7" s="54"/>
      <c r="D7" s="54"/>
      <c r="E7" s="54"/>
      <c r="F7" s="54"/>
      <c r="G7" s="54">
        <v>8</v>
      </c>
      <c r="H7" s="54">
        <v>0</v>
      </c>
      <c r="I7" s="54">
        <v>0</v>
      </c>
      <c r="J7" s="54">
        <v>8</v>
      </c>
      <c r="K7" s="54">
        <v>8</v>
      </c>
      <c r="L7" s="54">
        <v>0</v>
      </c>
      <c r="M7" s="54">
        <v>0</v>
      </c>
      <c r="N7" s="54">
        <v>8</v>
      </c>
      <c r="O7" s="54">
        <v>8</v>
      </c>
      <c r="P7" s="54">
        <v>0</v>
      </c>
      <c r="Q7" s="54">
        <v>0</v>
      </c>
      <c r="R7" s="54">
        <v>8</v>
      </c>
      <c r="S7" s="54">
        <v>6</v>
      </c>
      <c r="T7" s="54">
        <v>0</v>
      </c>
      <c r="U7" s="54">
        <v>0</v>
      </c>
      <c r="V7" s="54">
        <v>6</v>
      </c>
      <c r="W7" s="54"/>
      <c r="X7" s="54"/>
      <c r="Y7" s="54"/>
      <c r="Z7" s="54"/>
      <c r="AA7" s="54">
        <v>8</v>
      </c>
      <c r="AB7" s="54">
        <v>0</v>
      </c>
      <c r="AC7" s="54">
        <v>0</v>
      </c>
      <c r="AD7" s="54">
        <v>8</v>
      </c>
      <c r="AE7" s="54">
        <v>8</v>
      </c>
      <c r="AF7" s="54">
        <v>0</v>
      </c>
      <c r="AG7" s="54">
        <v>0</v>
      </c>
      <c r="AH7" s="54">
        <v>8</v>
      </c>
      <c r="AI7" s="54">
        <v>8</v>
      </c>
      <c r="AJ7" s="54">
        <v>0</v>
      </c>
      <c r="AK7" s="54">
        <v>0</v>
      </c>
      <c r="AL7" s="54">
        <v>8</v>
      </c>
      <c r="AM7" s="54">
        <v>8</v>
      </c>
      <c r="AN7" s="54">
        <v>0</v>
      </c>
      <c r="AO7" s="54">
        <v>0</v>
      </c>
      <c r="AP7" s="54">
        <v>8</v>
      </c>
      <c r="AQ7" s="54">
        <v>8</v>
      </c>
      <c r="AR7" s="54">
        <v>0</v>
      </c>
      <c r="AS7" s="54">
        <v>0</v>
      </c>
      <c r="AT7" s="54">
        <v>8</v>
      </c>
      <c r="AU7" s="54">
        <v>5</v>
      </c>
      <c r="AV7" s="54">
        <v>0</v>
      </c>
      <c r="AW7" s="54">
        <v>0</v>
      </c>
      <c r="AX7" s="54">
        <v>5</v>
      </c>
      <c r="AY7" s="54"/>
      <c r="AZ7" s="54"/>
      <c r="BA7" s="54"/>
      <c r="BB7" s="54"/>
      <c r="BC7" s="54">
        <v>8</v>
      </c>
      <c r="BD7" s="54">
        <v>0</v>
      </c>
      <c r="BE7" s="54">
        <v>0</v>
      </c>
      <c r="BF7" s="54">
        <v>8</v>
      </c>
      <c r="BG7" s="54">
        <v>8</v>
      </c>
      <c r="BH7" s="54">
        <v>0</v>
      </c>
      <c r="BI7" s="54">
        <v>0</v>
      </c>
      <c r="BJ7" s="101">
        <v>8</v>
      </c>
      <c r="BK7" s="46">
        <v>0</v>
      </c>
      <c r="BL7" s="46">
        <v>1</v>
      </c>
      <c r="BM7" s="46">
        <v>105</v>
      </c>
      <c r="BN7" s="46">
        <v>0</v>
      </c>
      <c r="BO7" s="170">
        <f>BK7+BL7+BM7</f>
        <v>106</v>
      </c>
      <c r="BP7" s="15" t="s">
        <v>75</v>
      </c>
      <c r="BQ7" s="15">
        <v>248.42</v>
      </c>
      <c r="BR7" s="87">
        <f>(BQ7*0.75)+BQ7</f>
        <v>434.73500000000001</v>
      </c>
      <c r="BS7" s="88">
        <f>BK7*BR7</f>
        <v>0</v>
      </c>
      <c r="BT7" s="88">
        <f>BQ7*2</f>
        <v>496.84</v>
      </c>
      <c r="BU7" s="88">
        <f>BL7*BT7</f>
        <v>496.84</v>
      </c>
      <c r="BV7" s="88">
        <f>BM7*BQ7</f>
        <v>26084.1</v>
      </c>
      <c r="BW7" s="29">
        <f>BQ7*0.25</f>
        <v>62.104999999999997</v>
      </c>
      <c r="BX7" s="88">
        <f>BN7*BW7</f>
        <v>0</v>
      </c>
      <c r="BY7" s="88">
        <f>BS7+BU7+BV7+BX7</f>
        <v>26580.94</v>
      </c>
      <c r="BZ7" s="89">
        <v>0.2</v>
      </c>
      <c r="CA7" s="29">
        <f>BY7*BZ7</f>
        <v>5316.1880000000001</v>
      </c>
      <c r="CB7" s="90">
        <v>0.13</v>
      </c>
      <c r="CC7" s="30">
        <f>BY7*CB7</f>
        <v>3455.5221999999999</v>
      </c>
      <c r="CD7" s="30">
        <v>11</v>
      </c>
      <c r="CE7" s="30">
        <v>1.2</v>
      </c>
      <c r="CF7" s="30">
        <f t="shared" ref="CF7:CF69" si="0">CD7*CE7</f>
        <v>13.2</v>
      </c>
      <c r="CG7" s="30">
        <f>BY7*CF7%</f>
        <v>3508.68408</v>
      </c>
      <c r="CH7" s="47"/>
      <c r="CI7" s="29"/>
      <c r="CJ7" s="32">
        <f>CI7*BQ7</f>
        <v>0</v>
      </c>
      <c r="CK7" s="29">
        <f>BY7+CA7+CC7+CG7+CJ7+CH7</f>
        <v>38861.334279999995</v>
      </c>
      <c r="CL7" s="106"/>
      <c r="CM7" s="119">
        <f>+CK7+CL7</f>
        <v>38861.334279999995</v>
      </c>
      <c r="CN7" s="30">
        <f>11+3+3+2.4+0.1</f>
        <v>19.5</v>
      </c>
      <c r="CO7" s="120">
        <f>CM7*CN7%</f>
        <v>7577.9601845999996</v>
      </c>
      <c r="CP7" s="121"/>
      <c r="CQ7" s="122">
        <f>+CM7-CO7</f>
        <v>31283.374095399995</v>
      </c>
      <c r="CR7" s="123">
        <v>1689.49</v>
      </c>
      <c r="CS7" s="123"/>
      <c r="CT7" s="123"/>
      <c r="CU7" s="123">
        <f>+CQ7+CR7</f>
        <v>32972.864095399993</v>
      </c>
      <c r="CV7" s="95">
        <v>30344.880000000001</v>
      </c>
      <c r="CW7" s="168">
        <f>+CU7-CV7</f>
        <v>2627.9840953999919</v>
      </c>
    </row>
    <row r="8" spans="1:102" ht="15" x14ac:dyDescent="0.25">
      <c r="A8" s="48">
        <v>3101</v>
      </c>
      <c r="B8" s="49" t="s">
        <v>114</v>
      </c>
      <c r="C8" s="55"/>
      <c r="D8" s="55"/>
      <c r="E8" s="55"/>
      <c r="F8" s="55"/>
      <c r="G8" s="55">
        <v>8</v>
      </c>
      <c r="H8" s="55">
        <v>0</v>
      </c>
      <c r="I8" s="55">
        <v>0</v>
      </c>
      <c r="J8" s="55">
        <v>8</v>
      </c>
      <c r="K8" s="55">
        <v>8</v>
      </c>
      <c r="L8" s="55">
        <v>0</v>
      </c>
      <c r="M8" s="55">
        <v>0</v>
      </c>
      <c r="N8" s="55">
        <v>8</v>
      </c>
      <c r="O8" s="55">
        <v>10</v>
      </c>
      <c r="P8" s="55">
        <v>2</v>
      </c>
      <c r="Q8" s="55">
        <v>0</v>
      </c>
      <c r="R8" s="55">
        <v>8</v>
      </c>
      <c r="S8" s="55" t="s">
        <v>6</v>
      </c>
      <c r="T8" s="55"/>
      <c r="U8" s="55"/>
      <c r="V8" s="55"/>
      <c r="W8" s="55"/>
      <c r="X8" s="55"/>
      <c r="Y8" s="55"/>
      <c r="Z8" s="55"/>
      <c r="AA8" s="55">
        <v>8</v>
      </c>
      <c r="AB8" s="55">
        <v>0</v>
      </c>
      <c r="AC8" s="55">
        <v>0</v>
      </c>
      <c r="AD8" s="55">
        <v>8</v>
      </c>
      <c r="AE8" s="55">
        <v>8</v>
      </c>
      <c r="AF8" s="55">
        <v>0</v>
      </c>
      <c r="AG8" s="55">
        <v>0</v>
      </c>
      <c r="AH8" s="55">
        <v>8</v>
      </c>
      <c r="AI8" s="55">
        <v>8</v>
      </c>
      <c r="AJ8" s="55">
        <v>0</v>
      </c>
      <c r="AK8" s="55">
        <v>0</v>
      </c>
      <c r="AL8" s="55">
        <v>8</v>
      </c>
      <c r="AM8" s="55">
        <v>8</v>
      </c>
      <c r="AN8" s="55">
        <v>0</v>
      </c>
      <c r="AO8" s="55">
        <v>0</v>
      </c>
      <c r="AP8" s="55">
        <v>8</v>
      </c>
      <c r="AQ8" s="55">
        <v>8</v>
      </c>
      <c r="AR8" s="55">
        <v>0</v>
      </c>
      <c r="AS8" s="55">
        <v>0</v>
      </c>
      <c r="AT8" s="55">
        <v>8</v>
      </c>
      <c r="AU8" s="55">
        <v>10</v>
      </c>
      <c r="AV8" s="55">
        <v>0</v>
      </c>
      <c r="AW8" s="55">
        <v>3</v>
      </c>
      <c r="AX8" s="55">
        <v>7</v>
      </c>
      <c r="AY8" s="55"/>
      <c r="AZ8" s="55"/>
      <c r="BA8" s="55"/>
      <c r="BB8" s="55"/>
      <c r="BC8" s="55">
        <v>8</v>
      </c>
      <c r="BD8" s="55">
        <v>0</v>
      </c>
      <c r="BE8" s="55">
        <v>0</v>
      </c>
      <c r="BF8" s="55">
        <v>8</v>
      </c>
      <c r="BG8" s="55">
        <v>8</v>
      </c>
      <c r="BH8" s="55">
        <v>0</v>
      </c>
      <c r="BI8" s="55">
        <v>0</v>
      </c>
      <c r="BJ8" s="50">
        <v>8</v>
      </c>
      <c r="BK8" s="170">
        <v>44</v>
      </c>
      <c r="BL8" s="170">
        <v>12</v>
      </c>
      <c r="BM8" s="170">
        <v>108</v>
      </c>
      <c r="BN8" s="170">
        <v>48</v>
      </c>
      <c r="BO8" s="170">
        <f>BK8+BL8+BM8</f>
        <v>164</v>
      </c>
      <c r="BP8" s="15" t="s">
        <v>76</v>
      </c>
      <c r="BQ8" s="15">
        <v>286.60000000000002</v>
      </c>
      <c r="BR8" s="15">
        <f>(BQ8*0.75)+BQ8</f>
        <v>501.55000000000007</v>
      </c>
      <c r="BS8" s="15">
        <f t="shared" ref="BS8:BS57" si="1">BK8*BR8</f>
        <v>22068.200000000004</v>
      </c>
      <c r="BT8" s="15">
        <f>BQ8*2</f>
        <v>573.20000000000005</v>
      </c>
      <c r="BU8" s="15">
        <f t="shared" ref="BU8:BU57" si="2">BL8*BT8</f>
        <v>6878.4000000000005</v>
      </c>
      <c r="BV8" s="15">
        <f t="shared" ref="BV8:BV57" si="3">BM8*BQ8</f>
        <v>30952.800000000003</v>
      </c>
      <c r="BW8" s="36">
        <f t="shared" ref="BW8:BW69" si="4">BQ8*0.25</f>
        <v>71.650000000000006</v>
      </c>
      <c r="BX8" s="15">
        <f t="shared" ref="BX8:BX57" si="5">BN8*BW8</f>
        <v>3439.2000000000003</v>
      </c>
      <c r="BY8" s="88">
        <f>BS8+BU8+BV8+BX8</f>
        <v>63338.600000000006</v>
      </c>
      <c r="BZ8" s="22">
        <v>0.2</v>
      </c>
      <c r="CA8" s="29">
        <f>BY8*BZ8</f>
        <v>12667.720000000001</v>
      </c>
      <c r="CB8" s="24">
        <v>0.13</v>
      </c>
      <c r="CC8" s="30">
        <f>BY8*CB8</f>
        <v>8234.0180000000018</v>
      </c>
      <c r="CD8" s="3">
        <v>13</v>
      </c>
      <c r="CE8" s="3">
        <v>1.2</v>
      </c>
      <c r="CF8" s="3">
        <f t="shared" si="0"/>
        <v>15.6</v>
      </c>
      <c r="CG8" s="30">
        <f>BY8*CF8%</f>
        <v>9880.8216000000011</v>
      </c>
      <c r="CH8" s="47"/>
      <c r="CI8" s="29"/>
      <c r="CJ8" s="32">
        <f t="shared" ref="CJ8:CJ57" si="6">CI8*BQ8</f>
        <v>0</v>
      </c>
      <c r="CK8" s="29">
        <f>BY8+CA8+CC8+CG8+CJ8+CH8</f>
        <v>94121.159599999999</v>
      </c>
      <c r="CL8" s="106"/>
      <c r="CM8" s="106">
        <f>+CK8+CL8</f>
        <v>94121.159599999999</v>
      </c>
      <c r="CN8" s="3">
        <f t="shared" ref="CN8:CN64" si="7">11+3+3+2.4+0.1</f>
        <v>19.5</v>
      </c>
      <c r="CO8" s="120">
        <f>CM8*CN8%</f>
        <v>18353.626122000001</v>
      </c>
      <c r="CP8" s="124"/>
      <c r="CQ8" s="122">
        <f>+CM8-CO8</f>
        <v>75767.533477999998</v>
      </c>
      <c r="CR8" s="125">
        <v>4091.94</v>
      </c>
      <c r="CS8" s="123"/>
      <c r="CT8" s="123"/>
      <c r="CU8" s="123">
        <f>+CQ8+CR8</f>
        <v>79859.473478</v>
      </c>
      <c r="CV8" s="96">
        <v>75390.81</v>
      </c>
      <c r="CW8" s="169">
        <f>+CU8-CV8</f>
        <v>4468.6634780000022</v>
      </c>
    </row>
    <row r="9" spans="1:102" ht="15" hidden="1" x14ac:dyDescent="0.25">
      <c r="A9" s="48">
        <v>3102</v>
      </c>
      <c r="B9" s="49" t="s">
        <v>48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15">
        <v>6</v>
      </c>
      <c r="BL9" s="15">
        <v>12</v>
      </c>
      <c r="BM9" s="15">
        <v>0</v>
      </c>
      <c r="BN9" s="15">
        <v>8</v>
      </c>
      <c r="BO9" s="98">
        <f t="shared" ref="BO9:BO38" si="8">BK9+BL9+BM9</f>
        <v>18</v>
      </c>
      <c r="BP9" s="98" t="s">
        <v>8</v>
      </c>
      <c r="BQ9" s="98">
        <v>194</v>
      </c>
      <c r="BR9" s="15">
        <f t="shared" ref="BR9:BR69" si="9">(BQ9*0.75)+BQ9</f>
        <v>339.5</v>
      </c>
      <c r="BS9" s="15">
        <f t="shared" si="1"/>
        <v>2037</v>
      </c>
      <c r="BT9" s="15">
        <v>280.74</v>
      </c>
      <c r="BU9" s="15">
        <f t="shared" si="2"/>
        <v>3368.88</v>
      </c>
      <c r="BV9" s="15">
        <f t="shared" si="3"/>
        <v>0</v>
      </c>
      <c r="BW9" s="36">
        <f t="shared" si="4"/>
        <v>48.5</v>
      </c>
      <c r="BX9" s="15">
        <f t="shared" si="5"/>
        <v>388</v>
      </c>
      <c r="BY9" s="15">
        <f t="shared" ref="BY9:BY64" si="10">BS9+BU9+BV9+BX9</f>
        <v>5793.88</v>
      </c>
      <c r="BZ9" s="22">
        <v>0.2</v>
      </c>
      <c r="CA9" s="29">
        <f t="shared" ref="CA9:CA69" si="11">BY9*BZ9</f>
        <v>1158.7760000000001</v>
      </c>
      <c r="CB9" s="24">
        <v>0.13</v>
      </c>
      <c r="CC9" s="30">
        <f t="shared" ref="CC9:CC64" si="12">BY9*CB9</f>
        <v>753.20440000000008</v>
      </c>
      <c r="CD9" s="3">
        <v>12</v>
      </c>
      <c r="CE9" s="3">
        <v>1.2</v>
      </c>
      <c r="CF9" s="3">
        <f t="shared" si="0"/>
        <v>14.399999999999999</v>
      </c>
      <c r="CG9" s="3">
        <f t="shared" ref="CG9:CG64" si="13">BY9*CF9%</f>
        <v>834.31871999999998</v>
      </c>
      <c r="CH9" s="47"/>
      <c r="CI9" s="36"/>
      <c r="CJ9" s="32">
        <f t="shared" si="6"/>
        <v>0</v>
      </c>
      <c r="CK9" s="29">
        <f t="shared" ref="CK9:CK40" si="14">BY9+CA9+CC9+CG9+CJ9+CH9</f>
        <v>8540.1791199999989</v>
      </c>
      <c r="CL9" s="106">
        <f>+CP9*CQ9</f>
        <v>0</v>
      </c>
      <c r="CM9" s="106"/>
      <c r="CN9" s="3">
        <f t="shared" si="7"/>
        <v>19.5</v>
      </c>
      <c r="CO9" s="30">
        <f t="shared" ref="CO9:CO41" si="15">CK9*CN9%</f>
        <v>1665.3349283999999</v>
      </c>
      <c r="CP9" s="51"/>
      <c r="CQ9" s="45">
        <f t="shared" ref="CQ9:CQ68" si="16">CK9-CO9</f>
        <v>6874.8441915999992</v>
      </c>
      <c r="CV9" s="2"/>
      <c r="CW9" s="2"/>
    </row>
    <row r="10" spans="1:102" ht="15" x14ac:dyDescent="0.25">
      <c r="A10" s="48">
        <v>3104</v>
      </c>
      <c r="B10" s="49" t="s">
        <v>39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0"/>
      <c r="BK10" s="170">
        <v>44</v>
      </c>
      <c r="BL10" s="170">
        <v>20</v>
      </c>
      <c r="BM10" s="52">
        <v>101</v>
      </c>
      <c r="BN10" s="170">
        <v>56</v>
      </c>
      <c r="BO10" s="170">
        <f t="shared" si="8"/>
        <v>165</v>
      </c>
      <c r="BP10" s="15" t="s">
        <v>76</v>
      </c>
      <c r="BQ10" s="15">
        <v>286.60000000000002</v>
      </c>
      <c r="BR10" s="15">
        <f t="shared" si="9"/>
        <v>501.55000000000007</v>
      </c>
      <c r="BS10" s="15">
        <f t="shared" si="1"/>
        <v>22068.200000000004</v>
      </c>
      <c r="BT10" s="15">
        <f t="shared" ref="BT10:BT26" si="17">BQ10*2</f>
        <v>573.20000000000005</v>
      </c>
      <c r="BU10" s="15">
        <f t="shared" si="2"/>
        <v>11464</v>
      </c>
      <c r="BV10" s="15">
        <f t="shared" si="3"/>
        <v>28946.600000000002</v>
      </c>
      <c r="BW10" s="36">
        <f t="shared" si="4"/>
        <v>71.650000000000006</v>
      </c>
      <c r="BX10" s="15">
        <f t="shared" si="5"/>
        <v>4012.4000000000005</v>
      </c>
      <c r="BY10" s="88">
        <f t="shared" si="10"/>
        <v>66491.199999999997</v>
      </c>
      <c r="BZ10" s="22">
        <v>0.2</v>
      </c>
      <c r="CA10" s="29">
        <f t="shared" si="11"/>
        <v>13298.24</v>
      </c>
      <c r="CB10" s="24">
        <v>0.13</v>
      </c>
      <c r="CC10" s="30">
        <f t="shared" si="12"/>
        <v>8643.8559999999998</v>
      </c>
      <c r="CD10" s="3">
        <v>13</v>
      </c>
      <c r="CE10" s="3">
        <v>1.2</v>
      </c>
      <c r="CF10" s="3">
        <f t="shared" si="0"/>
        <v>15.6</v>
      </c>
      <c r="CG10" s="30">
        <f t="shared" si="13"/>
        <v>10372.627199999999</v>
      </c>
      <c r="CH10" s="47"/>
      <c r="CI10" s="29"/>
      <c r="CJ10" s="32">
        <f t="shared" si="6"/>
        <v>0</v>
      </c>
      <c r="CK10" s="29">
        <f t="shared" si="14"/>
        <v>98805.923200000005</v>
      </c>
      <c r="CL10" s="106"/>
      <c r="CM10" s="106">
        <f t="shared" ref="CM10:CM38" si="18">+CK10+CL10</f>
        <v>98805.923200000005</v>
      </c>
      <c r="CN10" s="3">
        <f t="shared" si="7"/>
        <v>19.5</v>
      </c>
      <c r="CO10" s="120">
        <f t="shared" ref="CO10:CO38" si="19">CM10*CN10%</f>
        <v>19267.155024000003</v>
      </c>
      <c r="CP10" s="124"/>
      <c r="CQ10" s="122">
        <f t="shared" ref="CQ10:CQ38" si="20">+CM10-CO10</f>
        <v>79538.768175999998</v>
      </c>
      <c r="CR10" s="125">
        <v>4295.6099999999997</v>
      </c>
      <c r="CS10" s="123"/>
      <c r="CT10" s="123"/>
      <c r="CU10" s="123">
        <f t="shared" ref="CU10:CU36" si="21">+CQ10+CR10</f>
        <v>83834.378175999998</v>
      </c>
      <c r="CV10" s="96">
        <v>76745.88</v>
      </c>
      <c r="CW10" s="169">
        <f t="shared" ref="CW10:CW38" si="22">+CU10-CV10</f>
        <v>7088.4981759999937</v>
      </c>
    </row>
    <row r="11" spans="1:102" ht="15" x14ac:dyDescent="0.25">
      <c r="A11" s="48">
        <v>3106</v>
      </c>
      <c r="B11" s="49" t="s">
        <v>115</v>
      </c>
      <c r="C11" s="55"/>
      <c r="D11" s="55"/>
      <c r="E11" s="55"/>
      <c r="F11" s="55"/>
      <c r="G11" s="55">
        <v>8</v>
      </c>
      <c r="H11" s="55">
        <v>0</v>
      </c>
      <c r="I11" s="55">
        <v>0</v>
      </c>
      <c r="J11" s="55">
        <v>8</v>
      </c>
      <c r="K11" s="55">
        <v>8</v>
      </c>
      <c r="L11" s="55">
        <v>0</v>
      </c>
      <c r="M11" s="55">
        <v>0</v>
      </c>
      <c r="N11" s="55">
        <v>8</v>
      </c>
      <c r="O11" s="55">
        <v>10</v>
      </c>
      <c r="P11" s="55">
        <v>2</v>
      </c>
      <c r="Q11" s="55">
        <v>0</v>
      </c>
      <c r="R11" s="55">
        <v>8</v>
      </c>
      <c r="S11" s="55" t="s">
        <v>6</v>
      </c>
      <c r="T11" s="55"/>
      <c r="U11" s="55"/>
      <c r="V11" s="55"/>
      <c r="W11" s="55"/>
      <c r="X11" s="55"/>
      <c r="Y11" s="55"/>
      <c r="Z11" s="55"/>
      <c r="AA11" s="55" t="s">
        <v>6</v>
      </c>
      <c r="AB11" s="55"/>
      <c r="AC11" s="55"/>
      <c r="AD11" s="55"/>
      <c r="AE11" s="55">
        <v>4</v>
      </c>
      <c r="AF11" s="55">
        <v>0</v>
      </c>
      <c r="AG11" s="55">
        <v>0</v>
      </c>
      <c r="AH11" s="55">
        <v>4</v>
      </c>
      <c r="AI11" s="55" t="s">
        <v>6</v>
      </c>
      <c r="AJ11" s="55"/>
      <c r="AK11" s="55"/>
      <c r="AL11" s="55"/>
      <c r="AM11" s="55" t="s">
        <v>6</v>
      </c>
      <c r="AN11" s="55"/>
      <c r="AO11" s="55"/>
      <c r="AP11" s="55"/>
      <c r="AQ11" s="55" t="s">
        <v>6</v>
      </c>
      <c r="AR11" s="55"/>
      <c r="AS11" s="55"/>
      <c r="AT11" s="55"/>
      <c r="AU11" s="55" t="s">
        <v>6</v>
      </c>
      <c r="AV11" s="55"/>
      <c r="AW11" s="55"/>
      <c r="AX11" s="55"/>
      <c r="AY11" s="55"/>
      <c r="AZ11" s="55"/>
      <c r="BA11" s="55"/>
      <c r="BB11" s="55"/>
      <c r="BC11" s="55" t="s">
        <v>6</v>
      </c>
      <c r="BD11" s="55"/>
      <c r="BE11" s="55"/>
      <c r="BF11" s="55"/>
      <c r="BG11" s="55">
        <v>8</v>
      </c>
      <c r="BH11" s="55">
        <v>0</v>
      </c>
      <c r="BI11" s="55">
        <v>0</v>
      </c>
      <c r="BJ11" s="50">
        <v>8</v>
      </c>
      <c r="BK11" s="170">
        <v>34</v>
      </c>
      <c r="BL11" s="170">
        <v>11</v>
      </c>
      <c r="BM11" s="52">
        <v>85</v>
      </c>
      <c r="BN11" s="170">
        <v>56</v>
      </c>
      <c r="BO11" s="170">
        <f t="shared" si="8"/>
        <v>130</v>
      </c>
      <c r="BP11" s="15" t="s">
        <v>8</v>
      </c>
      <c r="BQ11" s="15">
        <v>267.62</v>
      </c>
      <c r="BR11" s="15">
        <f>(BQ11*0.75)+BQ11</f>
        <v>468.33500000000004</v>
      </c>
      <c r="BS11" s="15">
        <f t="shared" si="1"/>
        <v>15923.390000000001</v>
      </c>
      <c r="BT11" s="15">
        <f t="shared" si="17"/>
        <v>535.24</v>
      </c>
      <c r="BU11" s="15">
        <f t="shared" si="2"/>
        <v>5887.64</v>
      </c>
      <c r="BV11" s="15">
        <f t="shared" si="3"/>
        <v>22747.7</v>
      </c>
      <c r="BW11" s="36">
        <f t="shared" si="4"/>
        <v>66.905000000000001</v>
      </c>
      <c r="BX11" s="15">
        <f t="shared" si="5"/>
        <v>3746.6800000000003</v>
      </c>
      <c r="BY11" s="88">
        <f t="shared" si="10"/>
        <v>48305.41</v>
      </c>
      <c r="BZ11" s="22">
        <v>0.2</v>
      </c>
      <c r="CA11" s="29">
        <f t="shared" si="11"/>
        <v>9661.0820000000003</v>
      </c>
      <c r="CB11" s="24">
        <v>0.13</v>
      </c>
      <c r="CC11" s="30">
        <f t="shared" si="12"/>
        <v>6279.703300000001</v>
      </c>
      <c r="CD11" s="3">
        <v>13</v>
      </c>
      <c r="CE11" s="3">
        <v>1.2</v>
      </c>
      <c r="CF11" s="3">
        <f t="shared" si="0"/>
        <v>15.6</v>
      </c>
      <c r="CG11" s="30">
        <f t="shared" si="13"/>
        <v>7535.6439600000003</v>
      </c>
      <c r="CH11" s="47"/>
      <c r="CI11" s="29">
        <v>16</v>
      </c>
      <c r="CJ11" s="32">
        <f t="shared" si="6"/>
        <v>4281.92</v>
      </c>
      <c r="CK11" s="29">
        <f t="shared" si="14"/>
        <v>76063.759260000006</v>
      </c>
      <c r="CL11" s="106"/>
      <c r="CM11" s="106">
        <f t="shared" si="18"/>
        <v>76063.759260000006</v>
      </c>
      <c r="CN11" s="3">
        <f t="shared" si="7"/>
        <v>19.5</v>
      </c>
      <c r="CO11" s="120">
        <f t="shared" si="19"/>
        <v>14832.433055700001</v>
      </c>
      <c r="CP11" s="124"/>
      <c r="CQ11" s="122">
        <f t="shared" si="20"/>
        <v>61231.326204300007</v>
      </c>
      <c r="CR11" s="125">
        <v>3308.36</v>
      </c>
      <c r="CS11" s="123"/>
      <c r="CT11" s="123"/>
      <c r="CU11" s="123">
        <f t="shared" si="21"/>
        <v>64539.686204300007</v>
      </c>
      <c r="CV11" s="96">
        <v>59945.06</v>
      </c>
      <c r="CW11" s="169">
        <f t="shared" si="22"/>
        <v>4594.6262043000097</v>
      </c>
    </row>
    <row r="12" spans="1:102" ht="15" x14ac:dyDescent="0.25">
      <c r="A12" s="48">
        <v>3108</v>
      </c>
      <c r="B12" s="49" t="s">
        <v>116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170">
        <v>35</v>
      </c>
      <c r="BL12" s="170">
        <v>0</v>
      </c>
      <c r="BM12" s="170">
        <v>94</v>
      </c>
      <c r="BN12" s="170">
        <v>0</v>
      </c>
      <c r="BO12" s="170">
        <f t="shared" si="8"/>
        <v>129</v>
      </c>
      <c r="BP12" s="15" t="s">
        <v>8</v>
      </c>
      <c r="BQ12" s="15">
        <v>267.62</v>
      </c>
      <c r="BR12" s="15">
        <f t="shared" si="9"/>
        <v>468.33500000000004</v>
      </c>
      <c r="BS12" s="15">
        <f t="shared" si="1"/>
        <v>16391.725000000002</v>
      </c>
      <c r="BT12" s="15">
        <f t="shared" si="17"/>
        <v>535.24</v>
      </c>
      <c r="BU12" s="15">
        <f t="shared" si="2"/>
        <v>0</v>
      </c>
      <c r="BV12" s="15">
        <f t="shared" si="3"/>
        <v>25156.28</v>
      </c>
      <c r="BW12" s="36">
        <f t="shared" si="4"/>
        <v>66.905000000000001</v>
      </c>
      <c r="BX12" s="15">
        <f t="shared" si="5"/>
        <v>0</v>
      </c>
      <c r="BY12" s="88">
        <f t="shared" si="10"/>
        <v>41548.005000000005</v>
      </c>
      <c r="BZ12" s="22">
        <v>0.2</v>
      </c>
      <c r="CA12" s="29">
        <f t="shared" si="11"/>
        <v>8309.6010000000006</v>
      </c>
      <c r="CB12" s="24">
        <v>0.13</v>
      </c>
      <c r="CC12" s="30">
        <v>0</v>
      </c>
      <c r="CD12" s="3">
        <v>13</v>
      </c>
      <c r="CE12" s="3">
        <v>1.2</v>
      </c>
      <c r="CF12" s="3">
        <f t="shared" si="0"/>
        <v>15.6</v>
      </c>
      <c r="CG12" s="30">
        <f t="shared" si="13"/>
        <v>6481.4887800000006</v>
      </c>
      <c r="CH12" s="44"/>
      <c r="CI12" s="29"/>
      <c r="CJ12" s="32">
        <f t="shared" si="6"/>
        <v>0</v>
      </c>
      <c r="CK12" s="29">
        <f t="shared" si="14"/>
        <v>56339.094780000007</v>
      </c>
      <c r="CL12" s="106"/>
      <c r="CM12" s="106">
        <f t="shared" si="18"/>
        <v>56339.094780000007</v>
      </c>
      <c r="CN12" s="3">
        <f t="shared" si="7"/>
        <v>19.5</v>
      </c>
      <c r="CO12" s="120">
        <f t="shared" si="19"/>
        <v>10986.123482100002</v>
      </c>
      <c r="CP12" s="124"/>
      <c r="CQ12" s="122">
        <f t="shared" si="20"/>
        <v>45352.971297900003</v>
      </c>
      <c r="CR12" s="125">
        <v>2450.44</v>
      </c>
      <c r="CS12" s="123"/>
      <c r="CT12" s="123"/>
      <c r="CU12" s="123">
        <f t="shared" si="21"/>
        <v>47803.411297900006</v>
      </c>
      <c r="CV12" s="96">
        <v>47116.86</v>
      </c>
      <c r="CW12" s="169">
        <f t="shared" si="22"/>
        <v>686.55129790000501</v>
      </c>
    </row>
    <row r="13" spans="1:102" ht="15" x14ac:dyDescent="0.25">
      <c r="A13" s="48">
        <v>3109</v>
      </c>
      <c r="B13" s="49" t="s">
        <v>117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170">
        <v>34</v>
      </c>
      <c r="BL13" s="170">
        <v>11</v>
      </c>
      <c r="BM13" s="170">
        <v>93</v>
      </c>
      <c r="BN13" s="170">
        <v>48</v>
      </c>
      <c r="BO13" s="170">
        <f t="shared" si="8"/>
        <v>138</v>
      </c>
      <c r="BP13" s="15" t="s">
        <v>8</v>
      </c>
      <c r="BQ13" s="15">
        <v>267.62</v>
      </c>
      <c r="BR13" s="15">
        <f t="shared" si="9"/>
        <v>468.33500000000004</v>
      </c>
      <c r="BS13" s="15">
        <f t="shared" si="1"/>
        <v>15923.390000000001</v>
      </c>
      <c r="BT13" s="15">
        <f t="shared" si="17"/>
        <v>535.24</v>
      </c>
      <c r="BU13" s="15">
        <f t="shared" si="2"/>
        <v>5887.64</v>
      </c>
      <c r="BV13" s="15">
        <f t="shared" si="3"/>
        <v>24888.66</v>
      </c>
      <c r="BW13" s="36">
        <f t="shared" si="4"/>
        <v>66.905000000000001</v>
      </c>
      <c r="BX13" s="15">
        <f t="shared" si="5"/>
        <v>3211.44</v>
      </c>
      <c r="BY13" s="88">
        <f t="shared" si="10"/>
        <v>49911.130000000005</v>
      </c>
      <c r="BZ13" s="22">
        <v>0.2</v>
      </c>
      <c r="CA13" s="29">
        <f t="shared" si="11"/>
        <v>9982.2260000000024</v>
      </c>
      <c r="CB13" s="24">
        <v>0.13</v>
      </c>
      <c r="CC13" s="30">
        <f t="shared" si="12"/>
        <v>6488.4469000000008</v>
      </c>
      <c r="CD13" s="3">
        <v>13</v>
      </c>
      <c r="CE13" s="3">
        <v>1.2</v>
      </c>
      <c r="CF13" s="3">
        <f t="shared" si="0"/>
        <v>15.6</v>
      </c>
      <c r="CG13" s="30">
        <f t="shared" si="13"/>
        <v>7786.1362800000006</v>
      </c>
      <c r="CH13" s="44"/>
      <c r="CI13" s="29">
        <v>16</v>
      </c>
      <c r="CJ13" s="32">
        <f t="shared" si="6"/>
        <v>4281.92</v>
      </c>
      <c r="CK13" s="29">
        <f t="shared" si="14"/>
        <v>78449.859180000014</v>
      </c>
      <c r="CL13" s="106"/>
      <c r="CM13" s="106">
        <f t="shared" si="18"/>
        <v>78449.859180000014</v>
      </c>
      <c r="CN13" s="3">
        <f t="shared" si="7"/>
        <v>19.5</v>
      </c>
      <c r="CO13" s="120">
        <f t="shared" si="19"/>
        <v>15297.722540100003</v>
      </c>
      <c r="CP13" s="124"/>
      <c r="CQ13" s="122">
        <f t="shared" si="20"/>
        <v>63152.136639900011</v>
      </c>
      <c r="CR13" s="125">
        <v>3412.14</v>
      </c>
      <c r="CS13" s="123"/>
      <c r="CT13" s="123"/>
      <c r="CU13" s="123">
        <f t="shared" si="21"/>
        <v>66564.27663990001</v>
      </c>
      <c r="CV13" s="96">
        <v>67784.570000000007</v>
      </c>
      <c r="CW13" s="169">
        <f t="shared" si="22"/>
        <v>-1220.2933600999968</v>
      </c>
    </row>
    <row r="14" spans="1:102" ht="15" x14ac:dyDescent="0.25">
      <c r="A14" s="48">
        <v>3113</v>
      </c>
      <c r="B14" s="49" t="s">
        <v>35</v>
      </c>
      <c r="C14" s="55"/>
      <c r="D14" s="55"/>
      <c r="E14" s="55"/>
      <c r="F14" s="55"/>
      <c r="G14" s="55">
        <v>8</v>
      </c>
      <c r="H14" s="55">
        <v>0</v>
      </c>
      <c r="I14" s="55">
        <v>0</v>
      </c>
      <c r="J14" s="55">
        <v>8</v>
      </c>
      <c r="K14" s="55">
        <v>8</v>
      </c>
      <c r="L14" s="55">
        <v>0</v>
      </c>
      <c r="M14" s="55">
        <v>0</v>
      </c>
      <c r="N14" s="55">
        <v>8</v>
      </c>
      <c r="O14" s="55">
        <v>10</v>
      </c>
      <c r="P14" s="55">
        <v>2</v>
      </c>
      <c r="Q14" s="55">
        <v>0</v>
      </c>
      <c r="R14" s="55">
        <v>8</v>
      </c>
      <c r="S14" s="55">
        <v>7</v>
      </c>
      <c r="T14" s="55">
        <v>0</v>
      </c>
      <c r="U14" s="55">
        <v>0</v>
      </c>
      <c r="V14" s="55">
        <v>7</v>
      </c>
      <c r="W14" s="55"/>
      <c r="X14" s="55"/>
      <c r="Y14" s="55"/>
      <c r="Z14" s="55"/>
      <c r="AA14" s="55">
        <v>8</v>
      </c>
      <c r="AB14" s="55">
        <v>0</v>
      </c>
      <c r="AC14" s="55">
        <v>0</v>
      </c>
      <c r="AD14" s="55">
        <v>8</v>
      </c>
      <c r="AE14" s="55">
        <v>8</v>
      </c>
      <c r="AF14" s="55">
        <v>0</v>
      </c>
      <c r="AG14" s="55">
        <v>0</v>
      </c>
      <c r="AH14" s="55">
        <v>8</v>
      </c>
      <c r="AI14" s="55">
        <v>8</v>
      </c>
      <c r="AJ14" s="55">
        <v>0</v>
      </c>
      <c r="AK14" s="55">
        <v>0</v>
      </c>
      <c r="AL14" s="55">
        <v>8</v>
      </c>
      <c r="AM14" s="55">
        <v>8</v>
      </c>
      <c r="AN14" s="55">
        <v>0</v>
      </c>
      <c r="AO14" s="55">
        <v>0</v>
      </c>
      <c r="AP14" s="55">
        <v>8</v>
      </c>
      <c r="AQ14" s="55">
        <v>8</v>
      </c>
      <c r="AR14" s="55">
        <v>0</v>
      </c>
      <c r="AS14" s="55">
        <v>0</v>
      </c>
      <c r="AT14" s="55">
        <v>8</v>
      </c>
      <c r="AU14" s="55">
        <v>8</v>
      </c>
      <c r="AV14" s="55">
        <v>0</v>
      </c>
      <c r="AW14" s="55">
        <v>0</v>
      </c>
      <c r="AX14" s="55">
        <v>8</v>
      </c>
      <c r="AY14" s="55"/>
      <c r="AZ14" s="55"/>
      <c r="BA14" s="55"/>
      <c r="BB14" s="55"/>
      <c r="BC14" s="55">
        <v>8</v>
      </c>
      <c r="BD14" s="55">
        <v>0</v>
      </c>
      <c r="BE14" s="55">
        <v>0</v>
      </c>
      <c r="BF14" s="55">
        <v>8</v>
      </c>
      <c r="BG14" s="55">
        <v>8</v>
      </c>
      <c r="BH14" s="55">
        <v>0</v>
      </c>
      <c r="BI14" s="55">
        <v>0</v>
      </c>
      <c r="BJ14" s="50">
        <v>8</v>
      </c>
      <c r="BK14" s="170">
        <v>44</v>
      </c>
      <c r="BL14" s="170">
        <v>12</v>
      </c>
      <c r="BM14" s="91">
        <v>108</v>
      </c>
      <c r="BN14" s="170">
        <v>48</v>
      </c>
      <c r="BO14" s="170">
        <f t="shared" si="8"/>
        <v>164</v>
      </c>
      <c r="BP14" s="15" t="s">
        <v>76</v>
      </c>
      <c r="BQ14" s="15">
        <v>286.60000000000002</v>
      </c>
      <c r="BR14" s="15">
        <f t="shared" si="9"/>
        <v>501.55000000000007</v>
      </c>
      <c r="BS14" s="15">
        <f t="shared" si="1"/>
        <v>22068.200000000004</v>
      </c>
      <c r="BT14" s="15">
        <f t="shared" si="17"/>
        <v>573.20000000000005</v>
      </c>
      <c r="BU14" s="15">
        <f t="shared" si="2"/>
        <v>6878.4000000000005</v>
      </c>
      <c r="BV14" s="15">
        <f t="shared" si="3"/>
        <v>30952.800000000003</v>
      </c>
      <c r="BW14" s="36">
        <f t="shared" si="4"/>
        <v>71.650000000000006</v>
      </c>
      <c r="BX14" s="15">
        <f t="shared" si="5"/>
        <v>3439.2000000000003</v>
      </c>
      <c r="BY14" s="88">
        <f t="shared" si="10"/>
        <v>63338.600000000006</v>
      </c>
      <c r="BZ14" s="22">
        <v>0.2</v>
      </c>
      <c r="CA14" s="29">
        <f t="shared" si="11"/>
        <v>12667.720000000001</v>
      </c>
      <c r="CB14" s="24">
        <v>0.13</v>
      </c>
      <c r="CC14" s="30">
        <f t="shared" si="12"/>
        <v>8234.0180000000018</v>
      </c>
      <c r="CD14" s="3">
        <v>13</v>
      </c>
      <c r="CE14" s="3">
        <v>1.2</v>
      </c>
      <c r="CF14" s="3">
        <f t="shared" si="0"/>
        <v>15.6</v>
      </c>
      <c r="CG14" s="30">
        <f t="shared" si="13"/>
        <v>9880.8216000000011</v>
      </c>
      <c r="CH14" s="44"/>
      <c r="CI14" s="29"/>
      <c r="CJ14" s="32">
        <f t="shared" si="6"/>
        <v>0</v>
      </c>
      <c r="CK14" s="29">
        <f t="shared" si="14"/>
        <v>94121.159599999999</v>
      </c>
      <c r="CL14" s="106"/>
      <c r="CM14" s="106">
        <f t="shared" si="18"/>
        <v>94121.159599999999</v>
      </c>
      <c r="CN14" s="3">
        <f t="shared" si="7"/>
        <v>19.5</v>
      </c>
      <c r="CO14" s="120">
        <f t="shared" si="19"/>
        <v>18353.626122000001</v>
      </c>
      <c r="CP14" s="126"/>
      <c r="CQ14" s="122">
        <f t="shared" si="20"/>
        <v>75767.533477999998</v>
      </c>
      <c r="CR14" s="125">
        <v>4091.94</v>
      </c>
      <c r="CS14" s="123"/>
      <c r="CT14" s="123"/>
      <c r="CU14" s="123">
        <f t="shared" si="21"/>
        <v>79859.473478</v>
      </c>
      <c r="CV14" s="96">
        <v>72409.62</v>
      </c>
      <c r="CW14" s="169">
        <f t="shared" si="22"/>
        <v>7449.8534780000045</v>
      </c>
    </row>
    <row r="15" spans="1:102" ht="15" x14ac:dyDescent="0.25">
      <c r="A15" s="48">
        <v>3115</v>
      </c>
      <c r="B15" s="49" t="s">
        <v>118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170">
        <v>39</v>
      </c>
      <c r="BL15" s="170">
        <v>11</v>
      </c>
      <c r="BM15" s="170">
        <v>101</v>
      </c>
      <c r="BN15" s="170">
        <v>56</v>
      </c>
      <c r="BO15" s="170">
        <f t="shared" si="8"/>
        <v>151</v>
      </c>
      <c r="BP15" s="15" t="s">
        <v>8</v>
      </c>
      <c r="BQ15" s="15">
        <v>267.62</v>
      </c>
      <c r="BR15" s="15">
        <f t="shared" si="9"/>
        <v>468.33500000000004</v>
      </c>
      <c r="BS15" s="15">
        <f t="shared" si="1"/>
        <v>18265.065000000002</v>
      </c>
      <c r="BT15" s="15">
        <f t="shared" si="17"/>
        <v>535.24</v>
      </c>
      <c r="BU15" s="15">
        <f t="shared" si="2"/>
        <v>5887.64</v>
      </c>
      <c r="BV15" s="15">
        <f t="shared" si="3"/>
        <v>27029.62</v>
      </c>
      <c r="BW15" s="36">
        <f t="shared" si="4"/>
        <v>66.905000000000001</v>
      </c>
      <c r="BX15" s="15">
        <f t="shared" si="5"/>
        <v>3746.6800000000003</v>
      </c>
      <c r="BY15" s="88">
        <f t="shared" si="10"/>
        <v>54929.004999999997</v>
      </c>
      <c r="BZ15" s="22">
        <v>0.2</v>
      </c>
      <c r="CA15" s="29">
        <f t="shared" si="11"/>
        <v>10985.800999999999</v>
      </c>
      <c r="CB15" s="24">
        <v>0.13</v>
      </c>
      <c r="CC15" s="30">
        <f t="shared" si="12"/>
        <v>7140.7706499999995</v>
      </c>
      <c r="CD15" s="3">
        <v>13</v>
      </c>
      <c r="CE15" s="3">
        <v>1.2</v>
      </c>
      <c r="CF15" s="3">
        <f t="shared" si="0"/>
        <v>15.6</v>
      </c>
      <c r="CG15" s="30">
        <f t="shared" si="13"/>
        <v>8568.9247799999994</v>
      </c>
      <c r="CH15" s="44"/>
      <c r="CI15" s="29"/>
      <c r="CJ15" s="32">
        <f t="shared" si="6"/>
        <v>0</v>
      </c>
      <c r="CK15" s="29">
        <f t="shared" si="14"/>
        <v>81624.501430000004</v>
      </c>
      <c r="CL15" s="106"/>
      <c r="CM15" s="106">
        <f t="shared" si="18"/>
        <v>81624.501430000004</v>
      </c>
      <c r="CN15" s="3">
        <f t="shared" si="7"/>
        <v>19.5</v>
      </c>
      <c r="CO15" s="120">
        <f t="shared" si="19"/>
        <v>15916.777778850001</v>
      </c>
      <c r="CP15" s="126"/>
      <c r="CQ15" s="122">
        <f t="shared" si="20"/>
        <v>65707.723651150009</v>
      </c>
      <c r="CR15" s="125">
        <v>3550.22</v>
      </c>
      <c r="CS15" s="123"/>
      <c r="CT15" s="123"/>
      <c r="CU15" s="123">
        <f t="shared" si="21"/>
        <v>69257.94365115001</v>
      </c>
      <c r="CV15" s="96">
        <v>70484.03</v>
      </c>
      <c r="CW15" s="169">
        <f t="shared" si="22"/>
        <v>-1226.086348849989</v>
      </c>
    </row>
    <row r="16" spans="1:102" ht="15" x14ac:dyDescent="0.25">
      <c r="A16" s="48">
        <v>3117</v>
      </c>
      <c r="B16" s="49" t="s">
        <v>46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0"/>
      <c r="BK16" s="170">
        <v>44</v>
      </c>
      <c r="BL16" s="170">
        <v>3</v>
      </c>
      <c r="BM16" s="170">
        <v>107</v>
      </c>
      <c r="BN16" s="170">
        <v>48</v>
      </c>
      <c r="BO16" s="170">
        <f t="shared" si="8"/>
        <v>154</v>
      </c>
      <c r="BP16" s="15" t="s">
        <v>8</v>
      </c>
      <c r="BQ16" s="15">
        <v>267.62</v>
      </c>
      <c r="BR16" s="15">
        <f t="shared" si="9"/>
        <v>468.33500000000004</v>
      </c>
      <c r="BS16" s="15">
        <f t="shared" si="1"/>
        <v>20606.740000000002</v>
      </c>
      <c r="BT16" s="15">
        <f t="shared" si="17"/>
        <v>535.24</v>
      </c>
      <c r="BU16" s="15">
        <f t="shared" si="2"/>
        <v>1605.72</v>
      </c>
      <c r="BV16" s="15">
        <f t="shared" si="3"/>
        <v>28635.34</v>
      </c>
      <c r="BW16" s="36">
        <f t="shared" si="4"/>
        <v>66.905000000000001</v>
      </c>
      <c r="BX16" s="15">
        <f t="shared" si="5"/>
        <v>3211.44</v>
      </c>
      <c r="BY16" s="88">
        <f t="shared" si="10"/>
        <v>54059.240000000005</v>
      </c>
      <c r="BZ16" s="22">
        <v>0.2</v>
      </c>
      <c r="CA16" s="29">
        <f t="shared" si="11"/>
        <v>10811.848000000002</v>
      </c>
      <c r="CB16" s="24">
        <v>0.13</v>
      </c>
      <c r="CC16" s="30">
        <f t="shared" si="12"/>
        <v>7027.7012000000013</v>
      </c>
      <c r="CD16" s="3">
        <v>13</v>
      </c>
      <c r="CE16" s="3">
        <v>1.2</v>
      </c>
      <c r="CF16" s="3">
        <f t="shared" si="0"/>
        <v>15.6</v>
      </c>
      <c r="CG16" s="30">
        <f t="shared" si="13"/>
        <v>8433.2414400000016</v>
      </c>
      <c r="CH16" s="44"/>
      <c r="CI16" s="29"/>
      <c r="CJ16" s="32">
        <f t="shared" si="6"/>
        <v>0</v>
      </c>
      <c r="CK16" s="29">
        <f t="shared" si="14"/>
        <v>80332.030639999997</v>
      </c>
      <c r="CL16" s="106"/>
      <c r="CM16" s="106">
        <f t="shared" si="18"/>
        <v>80332.030639999997</v>
      </c>
      <c r="CN16" s="3">
        <f t="shared" si="7"/>
        <v>19.5</v>
      </c>
      <c r="CO16" s="120">
        <f t="shared" si="19"/>
        <v>15664.7459748</v>
      </c>
      <c r="CP16" s="126"/>
      <c r="CQ16" s="122">
        <f t="shared" si="20"/>
        <v>64667.284665200001</v>
      </c>
      <c r="CR16" s="125">
        <v>3494</v>
      </c>
      <c r="CS16" s="123"/>
      <c r="CT16" s="123"/>
      <c r="CU16" s="123">
        <f t="shared" si="21"/>
        <v>68161.284665200001</v>
      </c>
      <c r="CV16" s="96">
        <v>67025.350000000006</v>
      </c>
      <c r="CW16" s="169">
        <f t="shared" si="22"/>
        <v>1135.9346651999949</v>
      </c>
    </row>
    <row r="17" spans="1:102" ht="15" x14ac:dyDescent="0.25">
      <c r="A17" s="48">
        <v>3120</v>
      </c>
      <c r="B17" s="49" t="s">
        <v>119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170">
        <v>44</v>
      </c>
      <c r="BL17" s="170">
        <v>11</v>
      </c>
      <c r="BM17" s="52">
        <v>101</v>
      </c>
      <c r="BN17" s="170">
        <v>56</v>
      </c>
      <c r="BO17" s="170">
        <f t="shared" si="8"/>
        <v>156</v>
      </c>
      <c r="BP17" s="15" t="s">
        <v>8</v>
      </c>
      <c r="BQ17" s="15">
        <v>267.62</v>
      </c>
      <c r="BR17" s="15">
        <f t="shared" si="9"/>
        <v>468.33500000000004</v>
      </c>
      <c r="BS17" s="15">
        <f t="shared" si="1"/>
        <v>20606.740000000002</v>
      </c>
      <c r="BT17" s="15">
        <f t="shared" si="17"/>
        <v>535.24</v>
      </c>
      <c r="BU17" s="15">
        <f t="shared" si="2"/>
        <v>5887.64</v>
      </c>
      <c r="BV17" s="15">
        <f t="shared" si="3"/>
        <v>27029.62</v>
      </c>
      <c r="BW17" s="36">
        <f t="shared" si="4"/>
        <v>66.905000000000001</v>
      </c>
      <c r="BX17" s="15">
        <f t="shared" si="5"/>
        <v>3746.6800000000003</v>
      </c>
      <c r="BY17" s="88">
        <f t="shared" si="10"/>
        <v>57270.68</v>
      </c>
      <c r="BZ17" s="22">
        <v>0.2</v>
      </c>
      <c r="CA17" s="29">
        <f t="shared" si="11"/>
        <v>11454.136</v>
      </c>
      <c r="CB17" s="24">
        <v>0.13</v>
      </c>
      <c r="CC17" s="30">
        <f t="shared" si="12"/>
        <v>7445.1884</v>
      </c>
      <c r="CD17" s="3">
        <v>13</v>
      </c>
      <c r="CE17" s="3">
        <v>1.2</v>
      </c>
      <c r="CF17" s="3">
        <f t="shared" si="0"/>
        <v>15.6</v>
      </c>
      <c r="CG17" s="30">
        <f t="shared" si="13"/>
        <v>8934.2260800000004</v>
      </c>
      <c r="CH17" s="44"/>
      <c r="CI17" s="29"/>
      <c r="CJ17" s="32">
        <f t="shared" si="6"/>
        <v>0</v>
      </c>
      <c r="CK17" s="29">
        <f t="shared" si="14"/>
        <v>85104.230479999998</v>
      </c>
      <c r="CL17" s="106"/>
      <c r="CM17" s="106">
        <f t="shared" si="18"/>
        <v>85104.230479999998</v>
      </c>
      <c r="CN17" s="3">
        <f t="shared" si="7"/>
        <v>19.5</v>
      </c>
      <c r="CO17" s="120">
        <f t="shared" si="19"/>
        <v>16595.324943600001</v>
      </c>
      <c r="CP17" s="126"/>
      <c r="CQ17" s="122">
        <f t="shared" si="20"/>
        <v>68508.905536399994</v>
      </c>
      <c r="CR17" s="125">
        <v>3701.57</v>
      </c>
      <c r="CS17" s="123"/>
      <c r="CT17" s="123"/>
      <c r="CU17" s="123">
        <f t="shared" si="21"/>
        <v>72210.475536400001</v>
      </c>
      <c r="CV17" s="96">
        <v>68965.58</v>
      </c>
      <c r="CW17" s="169">
        <f t="shared" si="22"/>
        <v>3244.8955363999994</v>
      </c>
    </row>
    <row r="18" spans="1:102" ht="13.5" customHeight="1" x14ac:dyDescent="0.25">
      <c r="A18" s="48">
        <v>3121</v>
      </c>
      <c r="B18" s="49" t="s">
        <v>120</v>
      </c>
      <c r="C18" s="55"/>
      <c r="D18" s="55"/>
      <c r="E18" s="55"/>
      <c r="F18" s="55"/>
      <c r="G18" s="55">
        <v>8</v>
      </c>
      <c r="H18" s="55">
        <v>0</v>
      </c>
      <c r="I18" s="55">
        <v>0</v>
      </c>
      <c r="J18" s="55">
        <v>8</v>
      </c>
      <c r="K18" s="55">
        <v>8</v>
      </c>
      <c r="L18" s="55">
        <v>0</v>
      </c>
      <c r="M18" s="55">
        <v>0</v>
      </c>
      <c r="N18" s="55">
        <v>8</v>
      </c>
      <c r="O18" s="55">
        <v>12</v>
      </c>
      <c r="P18" s="55">
        <v>4</v>
      </c>
      <c r="Q18" s="55">
        <v>0</v>
      </c>
      <c r="R18" s="55">
        <v>8</v>
      </c>
      <c r="S18" s="55">
        <v>7</v>
      </c>
      <c r="T18" s="55">
        <v>0</v>
      </c>
      <c r="U18" s="55">
        <v>0</v>
      </c>
      <c r="V18" s="55">
        <v>7</v>
      </c>
      <c r="W18" s="55"/>
      <c r="X18" s="55"/>
      <c r="Y18" s="55"/>
      <c r="Z18" s="55"/>
      <c r="AA18" s="55">
        <v>8</v>
      </c>
      <c r="AB18" s="55">
        <v>0</v>
      </c>
      <c r="AC18" s="55">
        <v>0</v>
      </c>
      <c r="AD18" s="55">
        <v>8</v>
      </c>
      <c r="AE18" s="55" t="s">
        <v>6</v>
      </c>
      <c r="AF18" s="55"/>
      <c r="AG18" s="55"/>
      <c r="AH18" s="55"/>
      <c r="AI18" s="55" t="s">
        <v>6</v>
      </c>
      <c r="AJ18" s="55"/>
      <c r="AK18" s="55"/>
      <c r="AL18" s="55"/>
      <c r="AM18" s="55" t="s">
        <v>6</v>
      </c>
      <c r="AN18" s="55"/>
      <c r="AO18" s="55"/>
      <c r="AP18" s="55"/>
      <c r="AQ18" s="55" t="s">
        <v>6</v>
      </c>
      <c r="AR18" s="55"/>
      <c r="AS18" s="55"/>
      <c r="AT18" s="55"/>
      <c r="AU18" s="55" t="s">
        <v>6</v>
      </c>
      <c r="AV18" s="55"/>
      <c r="AW18" s="55"/>
      <c r="AX18" s="55"/>
      <c r="AY18" s="55"/>
      <c r="AZ18" s="55"/>
      <c r="BA18" s="55"/>
      <c r="BB18" s="55"/>
      <c r="BC18" s="55" t="s">
        <v>6</v>
      </c>
      <c r="BD18" s="55"/>
      <c r="BE18" s="55"/>
      <c r="BF18" s="55"/>
      <c r="BG18" s="55" t="s">
        <v>6</v>
      </c>
      <c r="BH18" s="55"/>
      <c r="BI18" s="55"/>
      <c r="BJ18" s="50"/>
      <c r="BK18" s="170">
        <v>44</v>
      </c>
      <c r="BL18" s="170">
        <v>16</v>
      </c>
      <c r="BM18" s="170">
        <v>102</v>
      </c>
      <c r="BN18" s="170">
        <v>56</v>
      </c>
      <c r="BO18" s="170">
        <f t="shared" si="8"/>
        <v>162</v>
      </c>
      <c r="BP18" s="15" t="s">
        <v>8</v>
      </c>
      <c r="BQ18" s="15">
        <v>267.62</v>
      </c>
      <c r="BR18" s="15">
        <f t="shared" si="9"/>
        <v>468.33500000000004</v>
      </c>
      <c r="BS18" s="15">
        <f t="shared" si="1"/>
        <v>20606.740000000002</v>
      </c>
      <c r="BT18" s="15">
        <f t="shared" si="17"/>
        <v>535.24</v>
      </c>
      <c r="BU18" s="15">
        <f t="shared" si="2"/>
        <v>8563.84</v>
      </c>
      <c r="BV18" s="15">
        <f t="shared" si="3"/>
        <v>27297.24</v>
      </c>
      <c r="BW18" s="36">
        <f t="shared" si="4"/>
        <v>66.905000000000001</v>
      </c>
      <c r="BX18" s="15">
        <f t="shared" si="5"/>
        <v>3746.6800000000003</v>
      </c>
      <c r="BY18" s="88">
        <f t="shared" si="10"/>
        <v>60214.500000000007</v>
      </c>
      <c r="BZ18" s="22">
        <v>0.2</v>
      </c>
      <c r="CA18" s="29">
        <f t="shared" si="11"/>
        <v>12042.900000000001</v>
      </c>
      <c r="CB18" s="24">
        <v>0.13</v>
      </c>
      <c r="CC18" s="30">
        <f t="shared" si="12"/>
        <v>7827.8850000000011</v>
      </c>
      <c r="CD18" s="3">
        <v>13</v>
      </c>
      <c r="CE18" s="3">
        <v>1.2</v>
      </c>
      <c r="CF18" s="3">
        <f t="shared" si="0"/>
        <v>15.6</v>
      </c>
      <c r="CG18" s="30">
        <f t="shared" si="13"/>
        <v>9393.4620000000014</v>
      </c>
      <c r="CH18" s="44"/>
      <c r="CI18" s="29"/>
      <c r="CJ18" s="32">
        <f t="shared" si="6"/>
        <v>0</v>
      </c>
      <c r="CK18" s="29">
        <f t="shared" si="14"/>
        <v>89478.747000000003</v>
      </c>
      <c r="CL18" s="106"/>
      <c r="CM18" s="106">
        <f t="shared" si="18"/>
        <v>89478.747000000003</v>
      </c>
      <c r="CN18" s="3">
        <f t="shared" si="7"/>
        <v>19.5</v>
      </c>
      <c r="CO18" s="120">
        <f t="shared" si="19"/>
        <v>17448.355665000003</v>
      </c>
      <c r="CP18" s="124"/>
      <c r="CQ18" s="122">
        <f t="shared" si="20"/>
        <v>72030.391334999993</v>
      </c>
      <c r="CR18" s="125">
        <v>3891.83</v>
      </c>
      <c r="CS18" s="123"/>
      <c r="CT18" s="123"/>
      <c r="CU18" s="123">
        <f t="shared" si="21"/>
        <v>75922.221334999995</v>
      </c>
      <c r="CV18" s="96">
        <v>70484.03</v>
      </c>
      <c r="CW18" s="169">
        <f t="shared" si="22"/>
        <v>5438.1913349999959</v>
      </c>
    </row>
    <row r="19" spans="1:102" ht="15" x14ac:dyDescent="0.25">
      <c r="A19" s="48">
        <v>3123</v>
      </c>
      <c r="B19" s="49" t="s">
        <v>121</v>
      </c>
      <c r="C19" s="55"/>
      <c r="D19" s="55"/>
      <c r="E19" s="55"/>
      <c r="F19" s="55"/>
      <c r="G19" s="55">
        <v>8</v>
      </c>
      <c r="H19" s="55">
        <v>0</v>
      </c>
      <c r="I19" s="55">
        <v>0</v>
      </c>
      <c r="J19" s="55">
        <v>8</v>
      </c>
      <c r="K19" s="55">
        <v>8</v>
      </c>
      <c r="L19" s="55">
        <v>0</v>
      </c>
      <c r="M19" s="55">
        <v>0</v>
      </c>
      <c r="N19" s="55">
        <v>8</v>
      </c>
      <c r="O19" s="55" t="s">
        <v>7</v>
      </c>
      <c r="P19" s="55"/>
      <c r="Q19" s="55"/>
      <c r="R19" s="55"/>
      <c r="S19" s="55">
        <v>7</v>
      </c>
      <c r="T19" s="55">
        <v>0</v>
      </c>
      <c r="U19" s="55">
        <v>0</v>
      </c>
      <c r="V19" s="55">
        <v>7</v>
      </c>
      <c r="W19" s="55"/>
      <c r="X19" s="55"/>
      <c r="Y19" s="55"/>
      <c r="Z19" s="55"/>
      <c r="AA19" s="55">
        <v>8</v>
      </c>
      <c r="AB19" s="55">
        <v>0</v>
      </c>
      <c r="AC19" s="55">
        <v>0</v>
      </c>
      <c r="AD19" s="55">
        <v>8</v>
      </c>
      <c r="AE19" s="55" t="s">
        <v>7</v>
      </c>
      <c r="AF19" s="55"/>
      <c r="AG19" s="55"/>
      <c r="AH19" s="55"/>
      <c r="AI19" s="55">
        <v>8</v>
      </c>
      <c r="AJ19" s="55">
        <v>0</v>
      </c>
      <c r="AK19" s="55">
        <v>0</v>
      </c>
      <c r="AL19" s="55">
        <v>8</v>
      </c>
      <c r="AM19" s="55" t="s">
        <v>11</v>
      </c>
      <c r="AN19" s="55"/>
      <c r="AO19" s="55"/>
      <c r="AP19" s="55"/>
      <c r="AQ19" s="55">
        <v>8</v>
      </c>
      <c r="AR19" s="55">
        <v>0</v>
      </c>
      <c r="AS19" s="55">
        <v>0</v>
      </c>
      <c r="AT19" s="55">
        <v>8</v>
      </c>
      <c r="AU19" s="55" t="s">
        <v>7</v>
      </c>
      <c r="AV19" s="55"/>
      <c r="AW19" s="55"/>
      <c r="AX19" s="55"/>
      <c r="AY19" s="55"/>
      <c r="AZ19" s="55"/>
      <c r="BA19" s="55"/>
      <c r="BB19" s="55"/>
      <c r="BC19" s="55">
        <v>8</v>
      </c>
      <c r="BD19" s="55">
        <v>0</v>
      </c>
      <c r="BE19" s="55">
        <v>0</v>
      </c>
      <c r="BF19" s="55">
        <v>8</v>
      </c>
      <c r="BG19" s="55" t="s">
        <v>7</v>
      </c>
      <c r="BH19" s="55"/>
      <c r="BI19" s="55"/>
      <c r="BJ19" s="50"/>
      <c r="BK19" s="170">
        <v>27</v>
      </c>
      <c r="BL19" s="170">
        <v>6</v>
      </c>
      <c r="BM19" s="170">
        <v>109</v>
      </c>
      <c r="BN19" s="170">
        <v>0</v>
      </c>
      <c r="BO19" s="170">
        <f t="shared" si="8"/>
        <v>142</v>
      </c>
      <c r="BP19" s="15" t="s">
        <v>76</v>
      </c>
      <c r="BQ19" s="15">
        <v>286.60000000000002</v>
      </c>
      <c r="BR19" s="15">
        <f t="shared" si="9"/>
        <v>501.55000000000007</v>
      </c>
      <c r="BS19" s="15">
        <f t="shared" si="1"/>
        <v>13541.850000000002</v>
      </c>
      <c r="BT19" s="15">
        <f t="shared" si="17"/>
        <v>573.20000000000005</v>
      </c>
      <c r="BU19" s="15">
        <f t="shared" si="2"/>
        <v>3439.2000000000003</v>
      </c>
      <c r="BV19" s="15">
        <f t="shared" si="3"/>
        <v>31239.4</v>
      </c>
      <c r="BW19" s="36">
        <f t="shared" si="4"/>
        <v>71.650000000000006</v>
      </c>
      <c r="BX19" s="15">
        <f t="shared" si="5"/>
        <v>0</v>
      </c>
      <c r="BY19" s="88">
        <f t="shared" si="10"/>
        <v>48220.450000000004</v>
      </c>
      <c r="BZ19" s="22">
        <v>0.2</v>
      </c>
      <c r="CA19" s="29">
        <f t="shared" si="11"/>
        <v>9644.090000000002</v>
      </c>
      <c r="CB19" s="24">
        <v>0.13</v>
      </c>
      <c r="CC19" s="30">
        <f t="shared" si="12"/>
        <v>6268.6585000000005</v>
      </c>
      <c r="CD19" s="3">
        <v>12</v>
      </c>
      <c r="CE19" s="3">
        <v>1.2</v>
      </c>
      <c r="CF19" s="3">
        <f t="shared" si="0"/>
        <v>14.399999999999999</v>
      </c>
      <c r="CG19" s="30">
        <f t="shared" si="13"/>
        <v>6943.7448000000004</v>
      </c>
      <c r="CH19" s="44"/>
      <c r="CI19" s="29"/>
      <c r="CJ19" s="32">
        <f t="shared" si="6"/>
        <v>0</v>
      </c>
      <c r="CK19" s="29">
        <f t="shared" si="14"/>
        <v>71076.943300000014</v>
      </c>
      <c r="CL19" s="106"/>
      <c r="CM19" s="106">
        <f t="shared" si="18"/>
        <v>71076.943300000014</v>
      </c>
      <c r="CN19" s="3">
        <f t="shared" si="7"/>
        <v>19.5</v>
      </c>
      <c r="CO19" s="120">
        <f t="shared" si="19"/>
        <v>13860.003943500004</v>
      </c>
      <c r="CP19" s="124"/>
      <c r="CQ19" s="122">
        <f t="shared" si="20"/>
        <v>57216.939356500006</v>
      </c>
      <c r="CR19" s="125">
        <v>3090.09</v>
      </c>
      <c r="CS19" s="123"/>
      <c r="CT19" s="123"/>
      <c r="CU19" s="123">
        <f t="shared" ref="CU19:CU27" si="23">+CQ19+CR19</f>
        <v>60307.029356500003</v>
      </c>
      <c r="CV19" s="96">
        <v>70765.289999999994</v>
      </c>
      <c r="CW19" s="169">
        <f t="shared" si="22"/>
        <v>-10458.260643499991</v>
      </c>
    </row>
    <row r="20" spans="1:102" ht="15" x14ac:dyDescent="0.25">
      <c r="A20" s="48">
        <v>3124</v>
      </c>
      <c r="B20" s="49" t="s">
        <v>53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170">
        <v>44</v>
      </c>
      <c r="BL20" s="170">
        <v>2</v>
      </c>
      <c r="BM20" s="170">
        <v>108</v>
      </c>
      <c r="BN20" s="170">
        <v>0</v>
      </c>
      <c r="BO20" s="170">
        <f t="shared" si="8"/>
        <v>154</v>
      </c>
      <c r="BP20" s="15" t="s">
        <v>75</v>
      </c>
      <c r="BQ20" s="15">
        <v>248.42</v>
      </c>
      <c r="BR20" s="15">
        <f t="shared" si="9"/>
        <v>434.73500000000001</v>
      </c>
      <c r="BS20" s="15">
        <f t="shared" si="1"/>
        <v>19128.34</v>
      </c>
      <c r="BT20" s="15">
        <f t="shared" si="17"/>
        <v>496.84</v>
      </c>
      <c r="BU20" s="15">
        <f t="shared" si="2"/>
        <v>993.68</v>
      </c>
      <c r="BV20" s="15">
        <f t="shared" si="3"/>
        <v>26829.359999999997</v>
      </c>
      <c r="BW20" s="36">
        <f t="shared" si="4"/>
        <v>62.104999999999997</v>
      </c>
      <c r="BX20" s="15">
        <f t="shared" si="5"/>
        <v>0</v>
      </c>
      <c r="BY20" s="88">
        <f t="shared" si="10"/>
        <v>46951.38</v>
      </c>
      <c r="BZ20" s="22">
        <v>0.2</v>
      </c>
      <c r="CA20" s="29">
        <f t="shared" si="11"/>
        <v>9390.2759999999998</v>
      </c>
      <c r="CB20" s="24">
        <v>0.13</v>
      </c>
      <c r="CC20" s="30">
        <f t="shared" si="12"/>
        <v>6103.6794</v>
      </c>
      <c r="CD20" s="3">
        <v>12</v>
      </c>
      <c r="CE20" s="3">
        <v>1.2</v>
      </c>
      <c r="CF20" s="3">
        <f t="shared" si="0"/>
        <v>14.399999999999999</v>
      </c>
      <c r="CG20" s="30">
        <f t="shared" si="13"/>
        <v>6760.9987199999987</v>
      </c>
      <c r="CH20" s="44"/>
      <c r="CI20" s="29"/>
      <c r="CJ20" s="32">
        <f t="shared" si="6"/>
        <v>0</v>
      </c>
      <c r="CK20" s="29">
        <f t="shared" si="14"/>
        <v>69206.33412</v>
      </c>
      <c r="CL20" s="106"/>
      <c r="CM20" s="106">
        <f t="shared" si="18"/>
        <v>69206.33412</v>
      </c>
      <c r="CN20" s="3">
        <f t="shared" si="7"/>
        <v>19.5</v>
      </c>
      <c r="CO20" s="120">
        <f t="shared" si="19"/>
        <v>13495.235153400001</v>
      </c>
      <c r="CP20" s="124"/>
      <c r="CQ20" s="122">
        <f t="shared" si="20"/>
        <v>55711.098966599995</v>
      </c>
      <c r="CR20" s="125">
        <v>3008.73</v>
      </c>
      <c r="CS20" s="123"/>
      <c r="CT20" s="123"/>
      <c r="CU20" s="123">
        <f t="shared" si="23"/>
        <v>58719.828966599998</v>
      </c>
      <c r="CV20" s="96">
        <v>53881.63</v>
      </c>
      <c r="CW20" s="169">
        <f t="shared" si="22"/>
        <v>4838.1989666000009</v>
      </c>
    </row>
    <row r="21" spans="1:102" ht="15" x14ac:dyDescent="0.25">
      <c r="A21" s="48">
        <v>3126</v>
      </c>
      <c r="B21" s="49" t="s">
        <v>122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0"/>
      <c r="BK21" s="170">
        <v>38</v>
      </c>
      <c r="BL21" s="170">
        <v>11</v>
      </c>
      <c r="BM21" s="170">
        <v>101</v>
      </c>
      <c r="BN21" s="170">
        <v>52</v>
      </c>
      <c r="BO21" s="170">
        <f t="shared" si="8"/>
        <v>150</v>
      </c>
      <c r="BP21" s="15" t="s">
        <v>8</v>
      </c>
      <c r="BQ21" s="15">
        <v>267.62</v>
      </c>
      <c r="BR21" s="15">
        <f t="shared" si="9"/>
        <v>468.33500000000004</v>
      </c>
      <c r="BS21" s="15">
        <f t="shared" si="1"/>
        <v>17796.730000000003</v>
      </c>
      <c r="BT21" s="15">
        <f t="shared" si="17"/>
        <v>535.24</v>
      </c>
      <c r="BU21" s="15">
        <f t="shared" si="2"/>
        <v>5887.64</v>
      </c>
      <c r="BV21" s="15">
        <f t="shared" si="3"/>
        <v>27029.62</v>
      </c>
      <c r="BW21" s="36">
        <f t="shared" si="4"/>
        <v>66.905000000000001</v>
      </c>
      <c r="BX21" s="15">
        <f t="shared" si="5"/>
        <v>3479.06</v>
      </c>
      <c r="BY21" s="88">
        <f t="shared" si="10"/>
        <v>54193.05</v>
      </c>
      <c r="BZ21" s="22">
        <v>0.2</v>
      </c>
      <c r="CA21" s="29">
        <f t="shared" si="11"/>
        <v>10838.61</v>
      </c>
      <c r="CB21" s="24">
        <v>0.13</v>
      </c>
      <c r="CC21" s="30">
        <f t="shared" si="12"/>
        <v>7045.0965000000006</v>
      </c>
      <c r="CD21" s="3">
        <v>12</v>
      </c>
      <c r="CE21" s="3">
        <v>1.2</v>
      </c>
      <c r="CF21" s="3">
        <f t="shared" si="0"/>
        <v>14.399999999999999</v>
      </c>
      <c r="CG21" s="30">
        <f t="shared" si="13"/>
        <v>7803.7991999999995</v>
      </c>
      <c r="CH21" s="44"/>
      <c r="CI21" s="29"/>
      <c r="CJ21" s="32">
        <f t="shared" si="6"/>
        <v>0</v>
      </c>
      <c r="CK21" s="29">
        <f t="shared" si="14"/>
        <v>79880.555699999997</v>
      </c>
      <c r="CL21" s="106"/>
      <c r="CM21" s="106">
        <f t="shared" si="18"/>
        <v>79880.555699999997</v>
      </c>
      <c r="CN21" s="3">
        <f t="shared" si="7"/>
        <v>19.5</v>
      </c>
      <c r="CO21" s="120">
        <f t="shared" si="19"/>
        <v>15576.708361499999</v>
      </c>
      <c r="CP21" s="124"/>
      <c r="CQ21" s="122">
        <f t="shared" si="20"/>
        <v>64303.847338499996</v>
      </c>
      <c r="CR21" s="125">
        <v>3474.37</v>
      </c>
      <c r="CS21" s="123"/>
      <c r="CT21" s="123"/>
      <c r="CU21" s="123">
        <f t="shared" si="23"/>
        <v>67778.217338499991</v>
      </c>
      <c r="CV21" s="96">
        <v>68088.63</v>
      </c>
      <c r="CW21" s="169">
        <f t="shared" si="22"/>
        <v>-310.4126615000132</v>
      </c>
      <c r="CX21" s="167"/>
    </row>
    <row r="22" spans="1:102" ht="15" x14ac:dyDescent="0.25">
      <c r="A22" s="48">
        <v>3128</v>
      </c>
      <c r="B22" s="49" t="s">
        <v>123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0"/>
      <c r="BK22" s="170">
        <v>44</v>
      </c>
      <c r="BL22" s="170">
        <v>20</v>
      </c>
      <c r="BM22" s="170">
        <v>102</v>
      </c>
      <c r="BN22" s="170">
        <v>56</v>
      </c>
      <c r="BO22" s="170">
        <f t="shared" si="8"/>
        <v>166</v>
      </c>
      <c r="BP22" s="15" t="s">
        <v>8</v>
      </c>
      <c r="BQ22" s="15">
        <v>267.62</v>
      </c>
      <c r="BR22" s="15">
        <f t="shared" si="9"/>
        <v>468.33500000000004</v>
      </c>
      <c r="BS22" s="15">
        <f t="shared" si="1"/>
        <v>20606.740000000002</v>
      </c>
      <c r="BT22" s="15">
        <f t="shared" si="17"/>
        <v>535.24</v>
      </c>
      <c r="BU22" s="15">
        <f t="shared" si="2"/>
        <v>10704.8</v>
      </c>
      <c r="BV22" s="15">
        <f t="shared" si="3"/>
        <v>27297.24</v>
      </c>
      <c r="BW22" s="36">
        <f t="shared" si="4"/>
        <v>66.905000000000001</v>
      </c>
      <c r="BX22" s="15">
        <f t="shared" si="5"/>
        <v>3746.6800000000003</v>
      </c>
      <c r="BY22" s="88">
        <f t="shared" si="10"/>
        <v>62355.46</v>
      </c>
      <c r="BZ22" s="22">
        <v>0.2</v>
      </c>
      <c r="CA22" s="29">
        <f t="shared" si="11"/>
        <v>12471.092000000001</v>
      </c>
      <c r="CB22" s="24">
        <v>0.13</v>
      </c>
      <c r="CC22" s="30">
        <f t="shared" si="12"/>
        <v>8106.2098000000005</v>
      </c>
      <c r="CD22" s="3">
        <v>12</v>
      </c>
      <c r="CE22" s="3">
        <v>1.2</v>
      </c>
      <c r="CF22" s="3">
        <f t="shared" si="0"/>
        <v>14.399999999999999</v>
      </c>
      <c r="CG22" s="30">
        <f t="shared" si="13"/>
        <v>8979.1862399999991</v>
      </c>
      <c r="CH22" s="44"/>
      <c r="CI22" s="29"/>
      <c r="CJ22" s="32">
        <f t="shared" si="6"/>
        <v>0</v>
      </c>
      <c r="CK22" s="29">
        <f t="shared" si="14"/>
        <v>91911.948039999988</v>
      </c>
      <c r="CL22" s="106"/>
      <c r="CM22" s="106">
        <f t="shared" si="18"/>
        <v>91911.948039999988</v>
      </c>
      <c r="CN22" s="3">
        <f t="shared" si="7"/>
        <v>19.5</v>
      </c>
      <c r="CO22" s="120">
        <f t="shared" si="19"/>
        <v>17922.829867799999</v>
      </c>
      <c r="CP22" s="124"/>
      <c r="CQ22" s="122">
        <f t="shared" si="20"/>
        <v>73989.118172199989</v>
      </c>
      <c r="CR22" s="125">
        <v>3997.66</v>
      </c>
      <c r="CS22" s="123"/>
      <c r="CT22" s="123"/>
      <c r="CU22" s="123">
        <f t="shared" si="23"/>
        <v>77986.778172199993</v>
      </c>
      <c r="CV22" s="96">
        <v>69929.509999999995</v>
      </c>
      <c r="CW22" s="169">
        <f t="shared" si="22"/>
        <v>8057.2681721999979</v>
      </c>
    </row>
    <row r="23" spans="1:102" ht="15" x14ac:dyDescent="0.25">
      <c r="A23" s="48">
        <v>3129</v>
      </c>
      <c r="B23" s="49" t="s">
        <v>124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170">
        <v>36</v>
      </c>
      <c r="BL23" s="170">
        <v>10</v>
      </c>
      <c r="BM23" s="170">
        <v>91</v>
      </c>
      <c r="BN23" s="170">
        <v>48</v>
      </c>
      <c r="BO23" s="170">
        <f t="shared" si="8"/>
        <v>137</v>
      </c>
      <c r="BP23" s="15" t="s">
        <v>8</v>
      </c>
      <c r="BQ23" s="15">
        <v>267.62</v>
      </c>
      <c r="BR23" s="15">
        <f t="shared" si="9"/>
        <v>468.33500000000004</v>
      </c>
      <c r="BS23" s="15">
        <f t="shared" si="1"/>
        <v>16860.060000000001</v>
      </c>
      <c r="BT23" s="15">
        <f t="shared" si="17"/>
        <v>535.24</v>
      </c>
      <c r="BU23" s="15">
        <f t="shared" si="2"/>
        <v>5352.4</v>
      </c>
      <c r="BV23" s="15">
        <f t="shared" si="3"/>
        <v>24353.420000000002</v>
      </c>
      <c r="BW23" s="36">
        <f t="shared" si="4"/>
        <v>66.905000000000001</v>
      </c>
      <c r="BX23" s="15">
        <f t="shared" si="5"/>
        <v>3211.44</v>
      </c>
      <c r="BY23" s="88">
        <f t="shared" si="10"/>
        <v>49777.320000000007</v>
      </c>
      <c r="BZ23" s="22">
        <v>0.2</v>
      </c>
      <c r="CA23" s="29">
        <f t="shared" si="11"/>
        <v>9955.4640000000018</v>
      </c>
      <c r="CB23" s="24">
        <v>0.13</v>
      </c>
      <c r="CC23" s="30">
        <f t="shared" si="12"/>
        <v>6471.0516000000007</v>
      </c>
      <c r="CD23" s="3">
        <v>12</v>
      </c>
      <c r="CE23" s="3">
        <v>1.2</v>
      </c>
      <c r="CF23" s="3">
        <f t="shared" si="0"/>
        <v>14.399999999999999</v>
      </c>
      <c r="CG23" s="30">
        <f t="shared" si="13"/>
        <v>7167.9340800000009</v>
      </c>
      <c r="CH23" s="44"/>
      <c r="CI23" s="29">
        <v>16</v>
      </c>
      <c r="CJ23" s="32">
        <f t="shared" si="6"/>
        <v>4281.92</v>
      </c>
      <c r="CK23" s="29">
        <f t="shared" si="14"/>
        <v>77653.68968000001</v>
      </c>
      <c r="CL23" s="106"/>
      <c r="CM23" s="106">
        <f t="shared" si="18"/>
        <v>77653.68968000001</v>
      </c>
      <c r="CN23" s="3">
        <f t="shared" si="7"/>
        <v>19.5</v>
      </c>
      <c r="CO23" s="120">
        <f t="shared" si="19"/>
        <v>15142.469487600003</v>
      </c>
      <c r="CP23" s="124"/>
      <c r="CQ23" s="122">
        <f t="shared" si="20"/>
        <v>62511.220192400011</v>
      </c>
      <c r="CR23" s="125">
        <v>3377.51</v>
      </c>
      <c r="CS23" s="123"/>
      <c r="CT23" s="123"/>
      <c r="CU23" s="123">
        <f t="shared" si="23"/>
        <v>65888.730192400006</v>
      </c>
      <c r="CV23" s="96">
        <v>68423.33</v>
      </c>
      <c r="CW23" s="169">
        <f t="shared" si="22"/>
        <v>-2534.599807599996</v>
      </c>
    </row>
    <row r="24" spans="1:102" ht="15" x14ac:dyDescent="0.25">
      <c r="A24" s="48">
        <v>3137</v>
      </c>
      <c r="B24" s="49" t="s">
        <v>42</v>
      </c>
      <c r="C24" s="55"/>
      <c r="D24" s="55"/>
      <c r="E24" s="55"/>
      <c r="F24" s="55"/>
      <c r="G24" s="55">
        <v>8</v>
      </c>
      <c r="H24" s="55">
        <v>0</v>
      </c>
      <c r="I24" s="55">
        <v>0</v>
      </c>
      <c r="J24" s="55">
        <v>8</v>
      </c>
      <c r="K24" s="55">
        <v>8</v>
      </c>
      <c r="L24" s="55">
        <v>0</v>
      </c>
      <c r="M24" s="55">
        <v>0</v>
      </c>
      <c r="N24" s="55">
        <v>8</v>
      </c>
      <c r="O24" s="55">
        <v>10</v>
      </c>
      <c r="P24" s="55">
        <v>2</v>
      </c>
      <c r="Q24" s="55">
        <v>0</v>
      </c>
      <c r="R24" s="55">
        <v>8</v>
      </c>
      <c r="S24" s="55">
        <v>7</v>
      </c>
      <c r="T24" s="55">
        <v>0</v>
      </c>
      <c r="U24" s="55">
        <v>0</v>
      </c>
      <c r="V24" s="55">
        <v>7</v>
      </c>
      <c r="W24" s="55"/>
      <c r="X24" s="55"/>
      <c r="Y24" s="55"/>
      <c r="Z24" s="55"/>
      <c r="AA24" s="55">
        <v>8</v>
      </c>
      <c r="AB24" s="55">
        <v>0</v>
      </c>
      <c r="AC24" s="55">
        <v>0</v>
      </c>
      <c r="AD24" s="55">
        <v>8</v>
      </c>
      <c r="AE24" s="55" t="s">
        <v>6</v>
      </c>
      <c r="AF24" s="55"/>
      <c r="AG24" s="55"/>
      <c r="AH24" s="55"/>
      <c r="AI24" s="55">
        <v>8</v>
      </c>
      <c r="AJ24" s="55">
        <v>0</v>
      </c>
      <c r="AK24" s="55">
        <v>0</v>
      </c>
      <c r="AL24" s="55">
        <v>8</v>
      </c>
      <c r="AM24" s="55" t="s">
        <v>6</v>
      </c>
      <c r="AN24" s="55"/>
      <c r="AO24" s="55"/>
      <c r="AP24" s="55"/>
      <c r="AQ24" s="55" t="s">
        <v>6</v>
      </c>
      <c r="AR24" s="55"/>
      <c r="AS24" s="55"/>
      <c r="AT24" s="55"/>
      <c r="AU24" s="55" t="s">
        <v>6</v>
      </c>
      <c r="AV24" s="55"/>
      <c r="AW24" s="55"/>
      <c r="AX24" s="55"/>
      <c r="AY24" s="55"/>
      <c r="AZ24" s="55"/>
      <c r="BA24" s="55"/>
      <c r="BB24" s="55"/>
      <c r="BC24" s="55" t="s">
        <v>6</v>
      </c>
      <c r="BD24" s="55"/>
      <c r="BE24" s="55"/>
      <c r="BF24" s="55"/>
      <c r="BG24" s="55" t="s">
        <v>6</v>
      </c>
      <c r="BH24" s="55"/>
      <c r="BI24" s="55"/>
      <c r="BJ24" s="50"/>
      <c r="BK24" s="171">
        <v>39</v>
      </c>
      <c r="BL24" s="171">
        <v>3</v>
      </c>
      <c r="BM24" s="172">
        <f>93+16</f>
        <v>109</v>
      </c>
      <c r="BN24" s="171">
        <v>48</v>
      </c>
      <c r="BO24" s="170">
        <f t="shared" si="8"/>
        <v>151</v>
      </c>
      <c r="BP24" s="15" t="s">
        <v>8</v>
      </c>
      <c r="BQ24" s="15">
        <v>267.62</v>
      </c>
      <c r="BR24" s="15">
        <f t="shared" si="9"/>
        <v>468.33500000000004</v>
      </c>
      <c r="BS24" s="15">
        <f t="shared" si="1"/>
        <v>18265.065000000002</v>
      </c>
      <c r="BT24" s="15">
        <f t="shared" si="17"/>
        <v>535.24</v>
      </c>
      <c r="BU24" s="15">
        <f t="shared" si="2"/>
        <v>1605.72</v>
      </c>
      <c r="BV24" s="15">
        <f t="shared" si="3"/>
        <v>29170.58</v>
      </c>
      <c r="BW24" s="36">
        <f t="shared" si="4"/>
        <v>66.905000000000001</v>
      </c>
      <c r="BX24" s="15">
        <f t="shared" si="5"/>
        <v>3211.44</v>
      </c>
      <c r="BY24" s="88">
        <f t="shared" si="10"/>
        <v>52252.805000000008</v>
      </c>
      <c r="BZ24" s="22">
        <v>0.2</v>
      </c>
      <c r="CA24" s="29">
        <f t="shared" si="11"/>
        <v>10450.561000000002</v>
      </c>
      <c r="CB24" s="24">
        <v>0.13</v>
      </c>
      <c r="CC24" s="30">
        <f t="shared" si="12"/>
        <v>6792.8646500000013</v>
      </c>
      <c r="CD24" s="3">
        <v>12</v>
      </c>
      <c r="CE24" s="3">
        <v>1.2</v>
      </c>
      <c r="CF24" s="3">
        <f t="shared" si="0"/>
        <v>14.399999999999999</v>
      </c>
      <c r="CG24" s="30">
        <f t="shared" si="13"/>
        <v>7524.4039200000007</v>
      </c>
      <c r="CH24" s="44"/>
      <c r="CI24" s="173"/>
      <c r="CJ24" s="32">
        <f t="shared" si="6"/>
        <v>0</v>
      </c>
      <c r="CK24" s="29">
        <f t="shared" si="14"/>
        <v>77020.634570000009</v>
      </c>
      <c r="CL24" s="106"/>
      <c r="CM24" s="106">
        <f t="shared" si="18"/>
        <v>77020.634570000009</v>
      </c>
      <c r="CN24" s="3">
        <f t="shared" si="7"/>
        <v>19.5</v>
      </c>
      <c r="CO24" s="120">
        <f t="shared" si="19"/>
        <v>15019.023741150002</v>
      </c>
      <c r="CP24" s="124"/>
      <c r="CQ24" s="122">
        <f t="shared" si="20"/>
        <v>62001.610828850011</v>
      </c>
      <c r="CR24" s="125">
        <v>3349.97</v>
      </c>
      <c r="CS24" s="123"/>
      <c r="CT24" s="123"/>
      <c r="CU24" s="123">
        <f t="shared" si="23"/>
        <v>65351.580828850012</v>
      </c>
      <c r="CV24" s="96">
        <v>67084.509999999995</v>
      </c>
      <c r="CW24" s="169">
        <f t="shared" si="22"/>
        <v>-1732.9291711499827</v>
      </c>
    </row>
    <row r="25" spans="1:102" ht="15" x14ac:dyDescent="0.25">
      <c r="A25" s="35">
        <v>3142</v>
      </c>
      <c r="B25" s="17" t="s">
        <v>125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9">
        <v>16</v>
      </c>
      <c r="BL25" s="19">
        <v>2</v>
      </c>
      <c r="BM25" s="170">
        <f>48+64</f>
        <v>112</v>
      </c>
      <c r="BN25" s="19">
        <v>24</v>
      </c>
      <c r="BO25" s="170">
        <f t="shared" si="8"/>
        <v>130</v>
      </c>
      <c r="BP25" s="15" t="s">
        <v>8</v>
      </c>
      <c r="BQ25" s="15">
        <v>267.62</v>
      </c>
      <c r="BR25" s="15">
        <f t="shared" si="9"/>
        <v>468.33500000000004</v>
      </c>
      <c r="BS25" s="15">
        <f t="shared" si="1"/>
        <v>7493.3600000000006</v>
      </c>
      <c r="BT25" s="15">
        <f t="shared" si="17"/>
        <v>535.24</v>
      </c>
      <c r="BU25" s="15">
        <f t="shared" si="2"/>
        <v>1070.48</v>
      </c>
      <c r="BV25" s="15">
        <f t="shared" si="3"/>
        <v>29973.440000000002</v>
      </c>
      <c r="BW25" s="36">
        <f t="shared" si="4"/>
        <v>66.905000000000001</v>
      </c>
      <c r="BX25" s="15">
        <f t="shared" si="5"/>
        <v>1605.72</v>
      </c>
      <c r="BY25" s="88">
        <f t="shared" si="10"/>
        <v>40143</v>
      </c>
      <c r="BZ25" s="22">
        <v>0.2</v>
      </c>
      <c r="CA25" s="29">
        <f t="shared" si="11"/>
        <v>8028.6</v>
      </c>
      <c r="CB25" s="24">
        <v>0.13</v>
      </c>
      <c r="CC25" s="30">
        <f t="shared" si="12"/>
        <v>5218.59</v>
      </c>
      <c r="CD25" s="20">
        <v>12</v>
      </c>
      <c r="CE25" s="3">
        <v>1.2</v>
      </c>
      <c r="CF25" s="3">
        <f t="shared" si="0"/>
        <v>14.399999999999999</v>
      </c>
      <c r="CG25" s="30">
        <f t="shared" si="13"/>
        <v>5780.5919999999996</v>
      </c>
      <c r="CH25" s="44"/>
      <c r="CI25" s="29"/>
      <c r="CJ25" s="32">
        <f t="shared" si="6"/>
        <v>0</v>
      </c>
      <c r="CK25" s="29">
        <f t="shared" si="14"/>
        <v>59170.781999999999</v>
      </c>
      <c r="CL25" s="106"/>
      <c r="CM25" s="106">
        <f t="shared" si="18"/>
        <v>59170.781999999999</v>
      </c>
      <c r="CN25" s="3">
        <f t="shared" si="7"/>
        <v>19.5</v>
      </c>
      <c r="CO25" s="120">
        <f t="shared" si="19"/>
        <v>11538.30249</v>
      </c>
      <c r="CP25" s="127"/>
      <c r="CQ25" s="122">
        <f t="shared" si="20"/>
        <v>47632.479509999997</v>
      </c>
      <c r="CR25" s="125">
        <v>2573.6</v>
      </c>
      <c r="CS25" s="123"/>
      <c r="CT25" s="123"/>
      <c r="CU25" s="123">
        <f t="shared" si="23"/>
        <v>50206.079509999996</v>
      </c>
      <c r="CV25" s="96">
        <v>63068.02</v>
      </c>
      <c r="CW25" s="169">
        <f t="shared" si="22"/>
        <v>-12861.940490000001</v>
      </c>
    </row>
    <row r="26" spans="1:102" ht="15" x14ac:dyDescent="0.25">
      <c r="A26" s="35">
        <v>3148</v>
      </c>
      <c r="B26" s="17" t="s">
        <v>126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18"/>
      <c r="BK26" s="19">
        <v>44</v>
      </c>
      <c r="BL26" s="19">
        <v>16</v>
      </c>
      <c r="BM26" s="170">
        <v>102</v>
      </c>
      <c r="BN26" s="19">
        <v>56</v>
      </c>
      <c r="BO26" s="170">
        <f t="shared" si="8"/>
        <v>162</v>
      </c>
      <c r="BP26" s="15" t="s">
        <v>76</v>
      </c>
      <c r="BQ26" s="15">
        <v>286.60000000000002</v>
      </c>
      <c r="BR26" s="15">
        <f t="shared" si="9"/>
        <v>501.55000000000007</v>
      </c>
      <c r="BS26" s="15">
        <f t="shared" si="1"/>
        <v>22068.200000000004</v>
      </c>
      <c r="BT26" s="15">
        <f t="shared" si="17"/>
        <v>573.20000000000005</v>
      </c>
      <c r="BU26" s="15">
        <f t="shared" si="2"/>
        <v>9171.2000000000007</v>
      </c>
      <c r="BV26" s="15">
        <f t="shared" si="3"/>
        <v>29233.200000000001</v>
      </c>
      <c r="BW26" s="36">
        <f t="shared" si="4"/>
        <v>71.650000000000006</v>
      </c>
      <c r="BX26" s="15">
        <f t="shared" si="5"/>
        <v>4012.4000000000005</v>
      </c>
      <c r="BY26" s="88">
        <f t="shared" si="10"/>
        <v>64485.000000000007</v>
      </c>
      <c r="BZ26" s="22">
        <v>0.2</v>
      </c>
      <c r="CA26" s="29">
        <f t="shared" si="11"/>
        <v>12897.000000000002</v>
      </c>
      <c r="CB26" s="24">
        <v>0.13</v>
      </c>
      <c r="CC26" s="30">
        <f t="shared" si="12"/>
        <v>8383.0500000000011</v>
      </c>
      <c r="CD26" s="20">
        <v>12</v>
      </c>
      <c r="CE26" s="3">
        <v>1.2</v>
      </c>
      <c r="CF26" s="3">
        <f t="shared" si="0"/>
        <v>14.399999999999999</v>
      </c>
      <c r="CG26" s="30">
        <f t="shared" si="13"/>
        <v>9285.84</v>
      </c>
      <c r="CH26" s="44"/>
      <c r="CI26" s="29"/>
      <c r="CJ26" s="32">
        <f t="shared" si="6"/>
        <v>0</v>
      </c>
      <c r="CK26" s="29">
        <f t="shared" si="14"/>
        <v>95050.890000000014</v>
      </c>
      <c r="CL26" s="106"/>
      <c r="CM26" s="106">
        <f t="shared" si="18"/>
        <v>95050.890000000014</v>
      </c>
      <c r="CN26" s="3">
        <f t="shared" si="7"/>
        <v>19.5</v>
      </c>
      <c r="CO26" s="120">
        <f t="shared" si="19"/>
        <v>18534.923550000003</v>
      </c>
      <c r="CP26" s="127"/>
      <c r="CQ26" s="122">
        <f t="shared" si="20"/>
        <v>76515.966450000007</v>
      </c>
      <c r="CR26" s="125">
        <v>4132.3599999999997</v>
      </c>
      <c r="CS26" s="123"/>
      <c r="CT26" s="123"/>
      <c r="CU26" s="123">
        <f t="shared" si="23"/>
        <v>80648.326450000008</v>
      </c>
      <c r="CV26" s="96">
        <v>76141.84</v>
      </c>
      <c r="CW26" s="169">
        <f t="shared" si="22"/>
        <v>4506.4864500000112</v>
      </c>
    </row>
    <row r="27" spans="1:102" ht="15" x14ac:dyDescent="0.25">
      <c r="A27" s="35">
        <v>3149</v>
      </c>
      <c r="B27" s="17" t="s">
        <v>127</v>
      </c>
      <c r="C27" s="56"/>
      <c r="D27" s="56"/>
      <c r="E27" s="56"/>
      <c r="F27" s="56"/>
      <c r="G27" s="56">
        <v>12</v>
      </c>
      <c r="H27" s="56">
        <v>4</v>
      </c>
      <c r="I27" s="56">
        <v>0</v>
      </c>
      <c r="J27" s="56">
        <v>8</v>
      </c>
      <c r="K27" s="56">
        <v>8</v>
      </c>
      <c r="L27" s="56">
        <v>0</v>
      </c>
      <c r="M27" s="56">
        <v>0</v>
      </c>
      <c r="N27" s="56">
        <v>8</v>
      </c>
      <c r="O27" s="56">
        <v>10</v>
      </c>
      <c r="P27" s="56">
        <v>2</v>
      </c>
      <c r="Q27" s="56">
        <v>0</v>
      </c>
      <c r="R27" s="56">
        <v>8</v>
      </c>
      <c r="S27" s="56">
        <v>7</v>
      </c>
      <c r="T27" s="56">
        <v>0</v>
      </c>
      <c r="U27" s="56">
        <v>0</v>
      </c>
      <c r="V27" s="56">
        <v>7</v>
      </c>
      <c r="W27" s="56"/>
      <c r="X27" s="56"/>
      <c r="Y27" s="56"/>
      <c r="Z27" s="56"/>
      <c r="AA27" s="56">
        <v>8</v>
      </c>
      <c r="AB27" s="56">
        <v>0</v>
      </c>
      <c r="AC27" s="56">
        <v>0</v>
      </c>
      <c r="AD27" s="56">
        <v>8</v>
      </c>
      <c r="AE27" s="56" t="s">
        <v>6</v>
      </c>
      <c r="AF27" s="56"/>
      <c r="AG27" s="56"/>
      <c r="AH27" s="56"/>
      <c r="AI27" s="56">
        <v>8</v>
      </c>
      <c r="AJ27" s="56">
        <v>0</v>
      </c>
      <c r="AK27" s="56">
        <v>0</v>
      </c>
      <c r="AL27" s="56">
        <v>8</v>
      </c>
      <c r="AM27" s="56" t="s">
        <v>6</v>
      </c>
      <c r="AN27" s="56"/>
      <c r="AO27" s="56"/>
      <c r="AP27" s="56"/>
      <c r="AQ27" s="56" t="s">
        <v>6</v>
      </c>
      <c r="AR27" s="56"/>
      <c r="AS27" s="56"/>
      <c r="AT27" s="56"/>
      <c r="AU27" s="56" t="s">
        <v>6</v>
      </c>
      <c r="AV27" s="56"/>
      <c r="AW27" s="56"/>
      <c r="AX27" s="56"/>
      <c r="AY27" s="56"/>
      <c r="AZ27" s="56"/>
      <c r="BA27" s="56"/>
      <c r="BB27" s="56"/>
      <c r="BC27" s="56" t="s">
        <v>6</v>
      </c>
      <c r="BD27" s="56"/>
      <c r="BE27" s="56"/>
      <c r="BF27" s="56"/>
      <c r="BG27" s="56">
        <v>4</v>
      </c>
      <c r="BH27" s="56">
        <v>0</v>
      </c>
      <c r="BI27" s="56">
        <v>0</v>
      </c>
      <c r="BJ27" s="18">
        <v>4</v>
      </c>
      <c r="BK27" s="19">
        <v>42</v>
      </c>
      <c r="BL27" s="19">
        <v>15</v>
      </c>
      <c r="BM27" s="170">
        <v>107</v>
      </c>
      <c r="BN27" s="19">
        <v>56</v>
      </c>
      <c r="BO27" s="170">
        <f t="shared" si="8"/>
        <v>164</v>
      </c>
      <c r="BP27" s="15" t="s">
        <v>8</v>
      </c>
      <c r="BQ27" s="15">
        <v>267.62</v>
      </c>
      <c r="BR27" s="15">
        <f t="shared" si="9"/>
        <v>468.33500000000004</v>
      </c>
      <c r="BS27" s="15">
        <f t="shared" si="1"/>
        <v>19670.07</v>
      </c>
      <c r="BT27" s="15">
        <f t="shared" ref="BT27:BT69" si="24">BQ27*2</f>
        <v>535.24</v>
      </c>
      <c r="BU27" s="15">
        <f t="shared" si="2"/>
        <v>8028.6</v>
      </c>
      <c r="BV27" s="15">
        <f t="shared" si="3"/>
        <v>28635.34</v>
      </c>
      <c r="BW27" s="36">
        <f t="shared" si="4"/>
        <v>66.905000000000001</v>
      </c>
      <c r="BX27" s="15">
        <f t="shared" si="5"/>
        <v>3746.6800000000003</v>
      </c>
      <c r="BY27" s="88">
        <f t="shared" si="10"/>
        <v>60080.689999999995</v>
      </c>
      <c r="BZ27" s="22">
        <v>0.2</v>
      </c>
      <c r="CA27" s="29">
        <f t="shared" si="11"/>
        <v>12016.137999999999</v>
      </c>
      <c r="CB27" s="24">
        <v>0.13</v>
      </c>
      <c r="CC27" s="30">
        <f t="shared" si="12"/>
        <v>7810.4896999999992</v>
      </c>
      <c r="CD27" s="20">
        <v>12</v>
      </c>
      <c r="CE27" s="3">
        <v>1.2</v>
      </c>
      <c r="CF27" s="3">
        <f t="shared" si="0"/>
        <v>14.399999999999999</v>
      </c>
      <c r="CG27" s="30">
        <f t="shared" si="13"/>
        <v>8651.6193599999988</v>
      </c>
      <c r="CH27" s="44"/>
      <c r="CI27" s="29"/>
      <c r="CJ27" s="32">
        <f>CI27*BQ27</f>
        <v>0</v>
      </c>
      <c r="CK27" s="29">
        <f t="shared" si="14"/>
        <v>88558.937059999997</v>
      </c>
      <c r="CL27" s="106"/>
      <c r="CM27" s="106">
        <f t="shared" si="18"/>
        <v>88558.937059999997</v>
      </c>
      <c r="CN27" s="3">
        <f t="shared" si="7"/>
        <v>19.5</v>
      </c>
      <c r="CO27" s="120">
        <f t="shared" si="19"/>
        <v>17268.992726699998</v>
      </c>
      <c r="CP27" s="127"/>
      <c r="CQ27" s="122">
        <f t="shared" si="20"/>
        <v>71289.944333299994</v>
      </c>
      <c r="CR27" s="125">
        <v>3851.83</v>
      </c>
      <c r="CS27" s="123"/>
      <c r="CT27" s="123"/>
      <c r="CU27" s="123">
        <f t="shared" si="23"/>
        <v>75141.774333299996</v>
      </c>
      <c r="CV27" s="96">
        <v>73109.23</v>
      </c>
      <c r="CW27" s="169">
        <f t="shared" si="22"/>
        <v>2032.5443333000003</v>
      </c>
    </row>
    <row r="28" spans="1:102" ht="15" x14ac:dyDescent="0.25">
      <c r="A28" s="35">
        <v>3152</v>
      </c>
      <c r="B28" s="17" t="s">
        <v>128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70">
        <v>32</v>
      </c>
      <c r="BL28" s="170">
        <v>1</v>
      </c>
      <c r="BM28" s="52">
        <f>71+40</f>
        <v>111</v>
      </c>
      <c r="BN28" s="170">
        <v>0</v>
      </c>
      <c r="BO28" s="170">
        <f t="shared" si="8"/>
        <v>144</v>
      </c>
      <c r="BP28" s="15" t="s">
        <v>8</v>
      </c>
      <c r="BQ28" s="15">
        <v>267.62</v>
      </c>
      <c r="BR28" s="15">
        <f t="shared" si="9"/>
        <v>468.33500000000004</v>
      </c>
      <c r="BS28" s="15">
        <f t="shared" si="1"/>
        <v>14986.720000000001</v>
      </c>
      <c r="BT28" s="15">
        <f t="shared" si="24"/>
        <v>535.24</v>
      </c>
      <c r="BU28" s="15">
        <f t="shared" si="2"/>
        <v>535.24</v>
      </c>
      <c r="BV28" s="15">
        <f t="shared" si="3"/>
        <v>29705.82</v>
      </c>
      <c r="BW28" s="36">
        <f t="shared" si="4"/>
        <v>66.905000000000001</v>
      </c>
      <c r="BX28" s="15">
        <f t="shared" si="5"/>
        <v>0</v>
      </c>
      <c r="BY28" s="88">
        <f t="shared" si="10"/>
        <v>45227.78</v>
      </c>
      <c r="BZ28" s="22">
        <v>0.2</v>
      </c>
      <c r="CA28" s="29">
        <f t="shared" si="11"/>
        <v>9045.5560000000005</v>
      </c>
      <c r="CB28" s="24">
        <v>0.13</v>
      </c>
      <c r="CC28" s="30">
        <v>0</v>
      </c>
      <c r="CD28" s="20">
        <v>12</v>
      </c>
      <c r="CE28" s="3">
        <v>1.2</v>
      </c>
      <c r="CF28" s="3">
        <f t="shared" si="0"/>
        <v>14.399999999999999</v>
      </c>
      <c r="CG28" s="30">
        <f t="shared" si="13"/>
        <v>6512.8003199999994</v>
      </c>
      <c r="CH28" s="44"/>
      <c r="CI28" s="29">
        <v>0</v>
      </c>
      <c r="CJ28" s="32">
        <f t="shared" si="6"/>
        <v>0</v>
      </c>
      <c r="CK28" s="29">
        <f t="shared" si="14"/>
        <v>60786.136319999998</v>
      </c>
      <c r="CL28" s="106"/>
      <c r="CM28" s="106">
        <f t="shared" si="18"/>
        <v>60786.136319999998</v>
      </c>
      <c r="CN28" s="3">
        <f t="shared" si="7"/>
        <v>19.5</v>
      </c>
      <c r="CO28" s="120">
        <f t="shared" si="19"/>
        <v>11853.2965824</v>
      </c>
      <c r="CP28" s="127"/>
      <c r="CQ28" s="122">
        <f>+CM28-CO28</f>
        <v>48932.839737599999</v>
      </c>
      <c r="CR28" s="125">
        <v>2643.86</v>
      </c>
      <c r="CS28" s="123">
        <f>8531.19+5472.03</f>
        <v>14003.220000000001</v>
      </c>
      <c r="CT28" s="123"/>
      <c r="CU28" s="123">
        <f>+CQ28+CR28+CS28</f>
        <v>65579.919737599994</v>
      </c>
      <c r="CV28" s="96">
        <v>38852.379999999997</v>
      </c>
      <c r="CW28" s="169">
        <f t="shared" si="22"/>
        <v>26727.539737599996</v>
      </c>
    </row>
    <row r="29" spans="1:102" ht="15" x14ac:dyDescent="0.25">
      <c r="A29" s="48">
        <v>3154</v>
      </c>
      <c r="B29" s="49" t="s">
        <v>129</v>
      </c>
      <c r="C29" s="55"/>
      <c r="D29" s="55"/>
      <c r="E29" s="55"/>
      <c r="F29" s="55"/>
      <c r="G29" s="55">
        <v>8</v>
      </c>
      <c r="H29" s="55">
        <v>0</v>
      </c>
      <c r="I29" s="55">
        <v>0</v>
      </c>
      <c r="J29" s="55">
        <v>8</v>
      </c>
      <c r="K29" s="55">
        <v>8</v>
      </c>
      <c r="L29" s="55">
        <v>0</v>
      </c>
      <c r="M29" s="55">
        <v>0</v>
      </c>
      <c r="N29" s="55">
        <v>8</v>
      </c>
      <c r="O29" s="55">
        <v>8</v>
      </c>
      <c r="P29" s="55">
        <v>0</v>
      </c>
      <c r="Q29" s="55">
        <v>0</v>
      </c>
      <c r="R29" s="55">
        <v>8</v>
      </c>
      <c r="S29" s="55">
        <v>7</v>
      </c>
      <c r="T29" s="55">
        <v>0</v>
      </c>
      <c r="U29" s="55">
        <v>0</v>
      </c>
      <c r="V29" s="55">
        <v>7</v>
      </c>
      <c r="W29" s="55"/>
      <c r="X29" s="55"/>
      <c r="Y29" s="55"/>
      <c r="Z29" s="55"/>
      <c r="AA29" s="55">
        <v>8</v>
      </c>
      <c r="AB29" s="55">
        <v>0</v>
      </c>
      <c r="AC29" s="55">
        <v>0</v>
      </c>
      <c r="AD29" s="55">
        <v>8</v>
      </c>
      <c r="AE29" s="55">
        <v>8</v>
      </c>
      <c r="AF29" s="55">
        <v>0</v>
      </c>
      <c r="AG29" s="55">
        <v>0</v>
      </c>
      <c r="AH29" s="55">
        <v>8</v>
      </c>
      <c r="AI29" s="55">
        <v>8</v>
      </c>
      <c r="AJ29" s="55">
        <v>0</v>
      </c>
      <c r="AK29" s="55">
        <v>0</v>
      </c>
      <c r="AL29" s="55">
        <v>8</v>
      </c>
      <c r="AM29" s="55">
        <v>8</v>
      </c>
      <c r="AN29" s="55">
        <v>0</v>
      </c>
      <c r="AO29" s="55">
        <v>0</v>
      </c>
      <c r="AP29" s="55">
        <v>8</v>
      </c>
      <c r="AQ29" s="55">
        <v>8</v>
      </c>
      <c r="AR29" s="55">
        <v>0</v>
      </c>
      <c r="AS29" s="55">
        <v>0</v>
      </c>
      <c r="AT29" s="55">
        <v>8</v>
      </c>
      <c r="AU29" s="55">
        <v>6</v>
      </c>
      <c r="AV29" s="55">
        <v>0</v>
      </c>
      <c r="AW29" s="55">
        <v>0</v>
      </c>
      <c r="AX29" s="55">
        <v>6</v>
      </c>
      <c r="AY29" s="55"/>
      <c r="AZ29" s="55"/>
      <c r="BA29" s="55"/>
      <c r="BB29" s="55"/>
      <c r="BC29" s="55">
        <v>8</v>
      </c>
      <c r="BD29" s="55">
        <v>0</v>
      </c>
      <c r="BE29" s="55">
        <v>0</v>
      </c>
      <c r="BF29" s="55">
        <v>8</v>
      </c>
      <c r="BG29" s="55">
        <v>8</v>
      </c>
      <c r="BH29" s="55">
        <v>0</v>
      </c>
      <c r="BI29" s="55">
        <v>0</v>
      </c>
      <c r="BJ29" s="50">
        <v>8</v>
      </c>
      <c r="BK29" s="170">
        <v>35</v>
      </c>
      <c r="BL29" s="170">
        <v>5</v>
      </c>
      <c r="BM29" s="170">
        <v>93</v>
      </c>
      <c r="BN29" s="170">
        <v>0</v>
      </c>
      <c r="BO29" s="170">
        <f t="shared" si="8"/>
        <v>133</v>
      </c>
      <c r="BP29" s="15" t="s">
        <v>76</v>
      </c>
      <c r="BQ29" s="15">
        <v>286.60000000000002</v>
      </c>
      <c r="BR29" s="15">
        <f t="shared" si="9"/>
        <v>501.55000000000007</v>
      </c>
      <c r="BS29" s="15">
        <f t="shared" si="1"/>
        <v>17554.250000000004</v>
      </c>
      <c r="BT29" s="15">
        <f t="shared" si="24"/>
        <v>573.20000000000005</v>
      </c>
      <c r="BU29" s="15">
        <f t="shared" si="2"/>
        <v>2866</v>
      </c>
      <c r="BV29" s="15">
        <f t="shared" si="3"/>
        <v>26653.800000000003</v>
      </c>
      <c r="BW29" s="36">
        <f t="shared" si="4"/>
        <v>71.650000000000006</v>
      </c>
      <c r="BX29" s="15">
        <f t="shared" si="5"/>
        <v>0</v>
      </c>
      <c r="BY29" s="88">
        <f t="shared" si="10"/>
        <v>47074.05</v>
      </c>
      <c r="BZ29" s="22">
        <v>0.2</v>
      </c>
      <c r="CA29" s="29">
        <f t="shared" si="11"/>
        <v>9414.8100000000013</v>
      </c>
      <c r="CB29" s="24">
        <v>0.13</v>
      </c>
      <c r="CC29" s="30">
        <f t="shared" si="12"/>
        <v>6119.6265000000003</v>
      </c>
      <c r="CD29" s="3">
        <v>12</v>
      </c>
      <c r="CE29" s="3">
        <v>1.2</v>
      </c>
      <c r="CF29" s="3">
        <f t="shared" si="0"/>
        <v>14.399999999999999</v>
      </c>
      <c r="CG29" s="30">
        <f t="shared" si="13"/>
        <v>6778.6632</v>
      </c>
      <c r="CH29" s="44"/>
      <c r="CI29" s="29">
        <v>16</v>
      </c>
      <c r="CJ29" s="32">
        <f t="shared" si="6"/>
        <v>4585.6000000000004</v>
      </c>
      <c r="CK29" s="29">
        <f t="shared" si="14"/>
        <v>73972.7497</v>
      </c>
      <c r="CL29" s="106"/>
      <c r="CM29" s="106">
        <f t="shared" si="18"/>
        <v>73972.7497</v>
      </c>
      <c r="CN29" s="3">
        <f t="shared" si="7"/>
        <v>19.5</v>
      </c>
      <c r="CO29" s="120">
        <f t="shared" si="19"/>
        <v>14424.686191500001</v>
      </c>
      <c r="CP29" s="126"/>
      <c r="CQ29" s="122">
        <f t="shared" si="20"/>
        <v>59548.063508499996</v>
      </c>
      <c r="CR29" s="125">
        <v>3215.98</v>
      </c>
      <c r="CS29" s="123"/>
      <c r="CT29" s="123"/>
      <c r="CU29" s="123">
        <f>+CQ29+CR29</f>
        <v>62764.043508499999</v>
      </c>
      <c r="CV29" s="96">
        <v>62162.8</v>
      </c>
      <c r="CW29" s="169">
        <f t="shared" si="22"/>
        <v>601.2435084999961</v>
      </c>
    </row>
    <row r="30" spans="1:102" ht="15" x14ac:dyDescent="0.25">
      <c r="A30" s="48">
        <v>3162</v>
      </c>
      <c r="B30" s="49" t="s">
        <v>130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170">
        <v>44</v>
      </c>
      <c r="BL30" s="170">
        <v>21</v>
      </c>
      <c r="BM30" s="170">
        <v>107</v>
      </c>
      <c r="BN30" s="170">
        <v>72</v>
      </c>
      <c r="BO30" s="170">
        <f t="shared" si="8"/>
        <v>172</v>
      </c>
      <c r="BP30" s="15" t="s">
        <v>8</v>
      </c>
      <c r="BQ30" s="15">
        <v>267.62</v>
      </c>
      <c r="BR30" s="15">
        <f t="shared" si="9"/>
        <v>468.33500000000004</v>
      </c>
      <c r="BS30" s="15">
        <f t="shared" si="1"/>
        <v>20606.740000000002</v>
      </c>
      <c r="BT30" s="15">
        <f t="shared" si="24"/>
        <v>535.24</v>
      </c>
      <c r="BU30" s="15">
        <f t="shared" si="2"/>
        <v>11240.04</v>
      </c>
      <c r="BV30" s="15">
        <f t="shared" si="3"/>
        <v>28635.34</v>
      </c>
      <c r="BW30" s="36">
        <f t="shared" si="4"/>
        <v>66.905000000000001</v>
      </c>
      <c r="BX30" s="15">
        <f t="shared" si="5"/>
        <v>4817.16</v>
      </c>
      <c r="BY30" s="88">
        <f t="shared" si="10"/>
        <v>65299.28</v>
      </c>
      <c r="BZ30" s="22">
        <v>0.2</v>
      </c>
      <c r="CA30" s="29">
        <f t="shared" si="11"/>
        <v>13059.856</v>
      </c>
      <c r="CB30" s="24">
        <v>0.13</v>
      </c>
      <c r="CC30" s="30">
        <f t="shared" si="12"/>
        <v>8488.9063999999998</v>
      </c>
      <c r="CD30" s="3">
        <v>11</v>
      </c>
      <c r="CE30" s="3">
        <v>1.2</v>
      </c>
      <c r="CF30" s="3">
        <f t="shared" si="0"/>
        <v>13.2</v>
      </c>
      <c r="CG30" s="30">
        <f t="shared" si="13"/>
        <v>8619.5049600000002</v>
      </c>
      <c r="CH30" s="44"/>
      <c r="CI30" s="29"/>
      <c r="CJ30" s="32">
        <f t="shared" si="6"/>
        <v>0</v>
      </c>
      <c r="CK30" s="29">
        <f t="shared" si="14"/>
        <v>95467.547360000011</v>
      </c>
      <c r="CL30" s="106"/>
      <c r="CM30" s="106">
        <f t="shared" si="18"/>
        <v>95467.547360000011</v>
      </c>
      <c r="CN30" s="3">
        <f t="shared" si="7"/>
        <v>19.5</v>
      </c>
      <c r="CO30" s="120">
        <f t="shared" si="19"/>
        <v>18616.171735200001</v>
      </c>
      <c r="CP30" s="126"/>
      <c r="CQ30" s="122">
        <f t="shared" si="20"/>
        <v>76851.375624800014</v>
      </c>
      <c r="CR30" s="125">
        <v>4152.3100000000004</v>
      </c>
      <c r="CS30" s="123"/>
      <c r="CT30" s="123"/>
      <c r="CU30" s="123">
        <f>+CQ30+CR30</f>
        <v>81003.685624800011</v>
      </c>
      <c r="CV30" s="96">
        <v>66719.14</v>
      </c>
      <c r="CW30" s="169">
        <f t="shared" si="22"/>
        <v>14284.545624800012</v>
      </c>
    </row>
    <row r="31" spans="1:102" ht="15" x14ac:dyDescent="0.25">
      <c r="A31" s="48">
        <v>3165</v>
      </c>
      <c r="B31" s="49" t="s">
        <v>131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170">
        <v>44</v>
      </c>
      <c r="BL31" s="170">
        <v>7</v>
      </c>
      <c r="BM31" s="170">
        <v>107</v>
      </c>
      <c r="BN31" s="170">
        <v>48</v>
      </c>
      <c r="BO31" s="170">
        <f t="shared" si="8"/>
        <v>158</v>
      </c>
      <c r="BP31" s="15" t="s">
        <v>8</v>
      </c>
      <c r="BQ31" s="15">
        <v>267.62</v>
      </c>
      <c r="BR31" s="15">
        <f t="shared" si="9"/>
        <v>468.33500000000004</v>
      </c>
      <c r="BS31" s="15">
        <f t="shared" si="1"/>
        <v>20606.740000000002</v>
      </c>
      <c r="BT31" s="15">
        <f t="shared" si="24"/>
        <v>535.24</v>
      </c>
      <c r="BU31" s="15">
        <f t="shared" si="2"/>
        <v>3746.6800000000003</v>
      </c>
      <c r="BV31" s="15">
        <f t="shared" si="3"/>
        <v>28635.34</v>
      </c>
      <c r="BW31" s="36">
        <f t="shared" si="4"/>
        <v>66.905000000000001</v>
      </c>
      <c r="BX31" s="15">
        <f t="shared" si="5"/>
        <v>3211.44</v>
      </c>
      <c r="BY31" s="88">
        <f t="shared" si="10"/>
        <v>56200.200000000004</v>
      </c>
      <c r="BZ31" s="22">
        <v>0.2</v>
      </c>
      <c r="CA31" s="29">
        <f t="shared" si="11"/>
        <v>11240.04</v>
      </c>
      <c r="CB31" s="24">
        <v>0.13</v>
      </c>
      <c r="CC31" s="30">
        <f t="shared" si="12"/>
        <v>7306.0260000000007</v>
      </c>
      <c r="CD31" s="3">
        <v>11</v>
      </c>
      <c r="CE31" s="3">
        <v>1.2</v>
      </c>
      <c r="CF31" s="3">
        <f t="shared" si="0"/>
        <v>13.2</v>
      </c>
      <c r="CG31" s="30">
        <f t="shared" si="13"/>
        <v>7418.4264000000012</v>
      </c>
      <c r="CH31" s="44"/>
      <c r="CI31" s="29"/>
      <c r="CJ31" s="32">
        <f t="shared" si="6"/>
        <v>0</v>
      </c>
      <c r="CK31" s="29">
        <f t="shared" si="14"/>
        <v>82164.6924</v>
      </c>
      <c r="CL31" s="106"/>
      <c r="CM31" s="106">
        <f t="shared" si="18"/>
        <v>82164.6924</v>
      </c>
      <c r="CN31" s="3">
        <f t="shared" si="7"/>
        <v>19.5</v>
      </c>
      <c r="CO31" s="120">
        <f t="shared" si="19"/>
        <v>16022.115018</v>
      </c>
      <c r="CP31" s="126"/>
      <c r="CQ31" s="122">
        <f t="shared" si="20"/>
        <v>66142.577382000003</v>
      </c>
      <c r="CR31" s="125">
        <v>3573.71</v>
      </c>
      <c r="CS31" s="123"/>
      <c r="CT31" s="123"/>
      <c r="CU31" s="123">
        <f>+CQ31+CR31</f>
        <v>69716.28738200001</v>
      </c>
      <c r="CV31" s="96">
        <v>62569.36</v>
      </c>
      <c r="CW31" s="169">
        <f t="shared" si="22"/>
        <v>7146.9273820000089</v>
      </c>
    </row>
    <row r="32" spans="1:102" ht="15" x14ac:dyDescent="0.25">
      <c r="A32" s="48">
        <v>3167</v>
      </c>
      <c r="B32" s="49" t="s">
        <v>132</v>
      </c>
      <c r="C32" s="55"/>
      <c r="D32" s="55"/>
      <c r="E32" s="55"/>
      <c r="F32" s="55"/>
      <c r="G32" s="55">
        <v>8</v>
      </c>
      <c r="H32" s="55">
        <v>0</v>
      </c>
      <c r="I32" s="55">
        <v>0</v>
      </c>
      <c r="J32" s="55">
        <v>8</v>
      </c>
      <c r="K32" s="55">
        <v>8</v>
      </c>
      <c r="L32" s="55">
        <v>0</v>
      </c>
      <c r="M32" s="55">
        <v>0</v>
      </c>
      <c r="N32" s="55">
        <v>8</v>
      </c>
      <c r="O32" s="55">
        <v>10</v>
      </c>
      <c r="P32" s="55">
        <v>2</v>
      </c>
      <c r="Q32" s="55">
        <v>0</v>
      </c>
      <c r="R32" s="55">
        <v>8</v>
      </c>
      <c r="S32" s="55" t="s">
        <v>6</v>
      </c>
      <c r="T32" s="55"/>
      <c r="U32" s="55"/>
      <c r="V32" s="55"/>
      <c r="W32" s="55"/>
      <c r="X32" s="55"/>
      <c r="Y32" s="55"/>
      <c r="Z32" s="55"/>
      <c r="AA32" s="55">
        <v>8</v>
      </c>
      <c r="AB32" s="55">
        <v>0</v>
      </c>
      <c r="AC32" s="55">
        <v>0</v>
      </c>
      <c r="AD32" s="55">
        <v>8</v>
      </c>
      <c r="AE32" s="55">
        <v>4</v>
      </c>
      <c r="AF32" s="55">
        <v>0</v>
      </c>
      <c r="AG32" s="55">
        <v>0</v>
      </c>
      <c r="AH32" s="55">
        <v>4</v>
      </c>
      <c r="AI32" s="55" t="s">
        <v>6</v>
      </c>
      <c r="AJ32" s="55"/>
      <c r="AK32" s="55"/>
      <c r="AL32" s="55"/>
      <c r="AM32" s="55" t="s">
        <v>6</v>
      </c>
      <c r="AN32" s="55"/>
      <c r="AO32" s="55"/>
      <c r="AP32" s="55"/>
      <c r="AQ32" s="55" t="s">
        <v>6</v>
      </c>
      <c r="AR32" s="55"/>
      <c r="AS32" s="55"/>
      <c r="AT32" s="55"/>
      <c r="AU32" s="55" t="s">
        <v>6</v>
      </c>
      <c r="AV32" s="55"/>
      <c r="AW32" s="55"/>
      <c r="AX32" s="55"/>
      <c r="AY32" s="55"/>
      <c r="AZ32" s="55"/>
      <c r="BA32" s="55"/>
      <c r="BB32" s="55"/>
      <c r="BC32" s="55" t="s">
        <v>6</v>
      </c>
      <c r="BD32" s="55"/>
      <c r="BE32" s="55"/>
      <c r="BF32" s="55"/>
      <c r="BG32" s="61">
        <v>8</v>
      </c>
      <c r="BH32" s="55">
        <v>0</v>
      </c>
      <c r="BI32" s="55">
        <v>0</v>
      </c>
      <c r="BJ32" s="50">
        <v>8</v>
      </c>
      <c r="BK32" s="170">
        <v>35</v>
      </c>
      <c r="BL32" s="170">
        <v>0</v>
      </c>
      <c r="BM32" s="52">
        <v>107</v>
      </c>
      <c r="BN32" s="170">
        <v>0</v>
      </c>
      <c r="BO32" s="170">
        <f t="shared" si="8"/>
        <v>142</v>
      </c>
      <c r="BP32" s="15" t="s">
        <v>8</v>
      </c>
      <c r="BQ32" s="15">
        <v>267.62</v>
      </c>
      <c r="BR32" s="15">
        <f t="shared" si="9"/>
        <v>468.33500000000004</v>
      </c>
      <c r="BS32" s="15">
        <f t="shared" si="1"/>
        <v>16391.725000000002</v>
      </c>
      <c r="BT32" s="15">
        <f t="shared" si="24"/>
        <v>535.24</v>
      </c>
      <c r="BU32" s="15">
        <f t="shared" si="2"/>
        <v>0</v>
      </c>
      <c r="BV32" s="15">
        <f t="shared" si="3"/>
        <v>28635.34</v>
      </c>
      <c r="BW32" s="36">
        <f t="shared" si="4"/>
        <v>66.905000000000001</v>
      </c>
      <c r="BX32" s="15">
        <f t="shared" si="5"/>
        <v>0</v>
      </c>
      <c r="BY32" s="88">
        <f t="shared" si="10"/>
        <v>45027.065000000002</v>
      </c>
      <c r="BZ32" s="22">
        <v>0.2</v>
      </c>
      <c r="CA32" s="29">
        <f t="shared" si="11"/>
        <v>9005.4130000000005</v>
      </c>
      <c r="CB32" s="24">
        <v>0.13</v>
      </c>
      <c r="CC32" s="30">
        <f t="shared" si="12"/>
        <v>5853.5184500000005</v>
      </c>
      <c r="CD32" s="3">
        <v>11</v>
      </c>
      <c r="CE32" s="3">
        <v>1.2</v>
      </c>
      <c r="CF32" s="3">
        <f t="shared" si="0"/>
        <v>13.2</v>
      </c>
      <c r="CG32" s="30">
        <f t="shared" si="13"/>
        <v>5943.5725800000009</v>
      </c>
      <c r="CH32" s="44"/>
      <c r="CI32" s="29"/>
      <c r="CJ32" s="32">
        <f t="shared" si="6"/>
        <v>0</v>
      </c>
      <c r="CK32" s="29">
        <f t="shared" si="14"/>
        <v>65829.569030000013</v>
      </c>
      <c r="CL32" s="106"/>
      <c r="CM32" s="106">
        <f t="shared" si="18"/>
        <v>65829.569030000013</v>
      </c>
      <c r="CN32" s="3">
        <f t="shared" si="7"/>
        <v>19.5</v>
      </c>
      <c r="CO32" s="120">
        <f t="shared" si="19"/>
        <v>12836.765960850003</v>
      </c>
      <c r="CP32" s="124"/>
      <c r="CQ32" s="122">
        <f t="shared" si="20"/>
        <v>52992.80306915001</v>
      </c>
      <c r="CR32" s="125">
        <v>2863.22</v>
      </c>
      <c r="CS32" s="123"/>
      <c r="CT32" s="123"/>
      <c r="CU32" s="123">
        <f t="shared" si="21"/>
        <v>55856.023069150011</v>
      </c>
      <c r="CV32" s="96">
        <v>56344.69</v>
      </c>
      <c r="CW32" s="169">
        <f t="shared" si="22"/>
        <v>-488.66693084999133</v>
      </c>
    </row>
    <row r="33" spans="1:101" ht="15" x14ac:dyDescent="0.25">
      <c r="A33" s="48">
        <v>3168</v>
      </c>
      <c r="B33" s="49" t="s">
        <v>133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170">
        <v>0</v>
      </c>
      <c r="BL33" s="170">
        <v>0</v>
      </c>
      <c r="BM33" s="52">
        <v>120</v>
      </c>
      <c r="BN33" s="170">
        <v>0</v>
      </c>
      <c r="BO33" s="170">
        <f t="shared" si="8"/>
        <v>120</v>
      </c>
      <c r="BP33" s="15" t="s">
        <v>75</v>
      </c>
      <c r="BQ33" s="15">
        <v>248.42</v>
      </c>
      <c r="BR33" s="15">
        <f t="shared" si="9"/>
        <v>434.73500000000001</v>
      </c>
      <c r="BS33" s="15">
        <f t="shared" si="1"/>
        <v>0</v>
      </c>
      <c r="BT33" s="15">
        <f t="shared" si="24"/>
        <v>496.84</v>
      </c>
      <c r="BU33" s="15">
        <f t="shared" si="2"/>
        <v>0</v>
      </c>
      <c r="BV33" s="15">
        <f t="shared" si="3"/>
        <v>29810.399999999998</v>
      </c>
      <c r="BW33" s="36">
        <f t="shared" si="4"/>
        <v>62.104999999999997</v>
      </c>
      <c r="BX33" s="15">
        <f t="shared" si="5"/>
        <v>0</v>
      </c>
      <c r="BY33" s="88">
        <f t="shared" si="10"/>
        <v>29810.399999999998</v>
      </c>
      <c r="BZ33" s="22">
        <v>0.2</v>
      </c>
      <c r="CA33" s="29">
        <f t="shared" si="11"/>
        <v>5962.08</v>
      </c>
      <c r="CB33" s="24">
        <v>0.13</v>
      </c>
      <c r="CC33" s="30">
        <v>0</v>
      </c>
      <c r="CD33" s="3">
        <v>11</v>
      </c>
      <c r="CE33" s="3">
        <v>1.2</v>
      </c>
      <c r="CF33" s="3">
        <f t="shared" si="0"/>
        <v>13.2</v>
      </c>
      <c r="CG33" s="30">
        <f t="shared" si="13"/>
        <v>3934.9728</v>
      </c>
      <c r="CH33" s="44"/>
      <c r="CI33" s="29"/>
      <c r="CJ33" s="32">
        <f t="shared" si="6"/>
        <v>0</v>
      </c>
      <c r="CK33" s="29">
        <f t="shared" si="14"/>
        <v>39707.452799999999</v>
      </c>
      <c r="CL33" s="106"/>
      <c r="CM33" s="106">
        <f t="shared" si="18"/>
        <v>39707.452799999999</v>
      </c>
      <c r="CN33" s="3">
        <f t="shared" si="7"/>
        <v>19.5</v>
      </c>
      <c r="CO33" s="120">
        <f t="shared" si="19"/>
        <v>7742.9532959999997</v>
      </c>
      <c r="CP33" s="124"/>
      <c r="CQ33" s="122">
        <f t="shared" si="20"/>
        <v>31964.499503999999</v>
      </c>
      <c r="CR33" s="125">
        <v>1726.27</v>
      </c>
      <c r="CS33" s="123"/>
      <c r="CT33" s="123"/>
      <c r="CU33" s="123">
        <f t="shared" si="21"/>
        <v>33690.769503999996</v>
      </c>
      <c r="CV33" s="96">
        <v>33865.660000000003</v>
      </c>
      <c r="CW33" s="169">
        <f t="shared" si="22"/>
        <v>-174.89049600000726</v>
      </c>
    </row>
    <row r="34" spans="1:101" ht="15" x14ac:dyDescent="0.25">
      <c r="A34" s="48">
        <v>3170</v>
      </c>
      <c r="B34" s="49" t="s">
        <v>134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170">
        <v>44</v>
      </c>
      <c r="BL34" s="170">
        <v>11</v>
      </c>
      <c r="BM34" s="170">
        <v>101</v>
      </c>
      <c r="BN34" s="170">
        <v>56</v>
      </c>
      <c r="BO34" s="170">
        <f t="shared" si="8"/>
        <v>156</v>
      </c>
      <c r="BP34" s="15" t="s">
        <v>75</v>
      </c>
      <c r="BQ34" s="15">
        <v>248.42</v>
      </c>
      <c r="BR34" s="15">
        <f t="shared" si="9"/>
        <v>434.73500000000001</v>
      </c>
      <c r="BS34" s="15">
        <f t="shared" si="1"/>
        <v>19128.34</v>
      </c>
      <c r="BT34" s="15">
        <f t="shared" si="24"/>
        <v>496.84</v>
      </c>
      <c r="BU34" s="15">
        <f t="shared" si="2"/>
        <v>5465.24</v>
      </c>
      <c r="BV34" s="15">
        <f t="shared" si="3"/>
        <v>25090.42</v>
      </c>
      <c r="BW34" s="36">
        <f t="shared" si="4"/>
        <v>62.104999999999997</v>
      </c>
      <c r="BX34" s="15">
        <f t="shared" si="5"/>
        <v>3477.8799999999997</v>
      </c>
      <c r="BY34" s="88">
        <f t="shared" si="10"/>
        <v>53161.88</v>
      </c>
      <c r="BZ34" s="22">
        <v>0.2</v>
      </c>
      <c r="CA34" s="29">
        <f t="shared" si="11"/>
        <v>10632.376</v>
      </c>
      <c r="CB34" s="24">
        <v>0.13</v>
      </c>
      <c r="CC34" s="30">
        <f t="shared" si="12"/>
        <v>6911.0443999999998</v>
      </c>
      <c r="CD34" s="3">
        <v>10</v>
      </c>
      <c r="CE34" s="3">
        <v>1.2</v>
      </c>
      <c r="CF34" s="3">
        <f t="shared" si="0"/>
        <v>12</v>
      </c>
      <c r="CG34" s="30">
        <f t="shared" si="13"/>
        <v>6379.4255999999996</v>
      </c>
      <c r="CH34" s="44"/>
      <c r="CI34" s="29"/>
      <c r="CJ34" s="32">
        <f t="shared" si="6"/>
        <v>0</v>
      </c>
      <c r="CK34" s="29">
        <f t="shared" si="14"/>
        <v>77084.725999999995</v>
      </c>
      <c r="CL34" s="106"/>
      <c r="CM34" s="106">
        <f t="shared" si="18"/>
        <v>77084.725999999995</v>
      </c>
      <c r="CN34" s="3">
        <f t="shared" si="7"/>
        <v>19.5</v>
      </c>
      <c r="CO34" s="120">
        <f t="shared" si="19"/>
        <v>15031.521569999999</v>
      </c>
      <c r="CP34" s="124"/>
      <c r="CQ34" s="122">
        <f t="shared" si="20"/>
        <v>62053.204429999998</v>
      </c>
      <c r="CR34" s="125">
        <v>3351.24</v>
      </c>
      <c r="CS34" s="123"/>
      <c r="CT34" s="123"/>
      <c r="CU34" s="123">
        <f t="shared" si="21"/>
        <v>65404.444429999996</v>
      </c>
      <c r="CV34" s="96">
        <v>61436.55</v>
      </c>
      <c r="CW34" s="169">
        <f t="shared" si="22"/>
        <v>3967.894429999993</v>
      </c>
    </row>
    <row r="35" spans="1:101" ht="15" x14ac:dyDescent="0.25">
      <c r="A35" s="48">
        <v>3171</v>
      </c>
      <c r="B35" s="49" t="s">
        <v>135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170">
        <v>30</v>
      </c>
      <c r="BL35" s="170">
        <v>3</v>
      </c>
      <c r="BM35" s="170">
        <v>91</v>
      </c>
      <c r="BN35" s="170">
        <v>48</v>
      </c>
      <c r="BO35" s="170">
        <f t="shared" si="8"/>
        <v>124</v>
      </c>
      <c r="BP35" s="15" t="s">
        <v>8</v>
      </c>
      <c r="BQ35" s="15">
        <v>267.62</v>
      </c>
      <c r="BR35" s="15">
        <f t="shared" si="9"/>
        <v>468.33500000000004</v>
      </c>
      <c r="BS35" s="15">
        <f t="shared" si="1"/>
        <v>14050.050000000001</v>
      </c>
      <c r="BT35" s="15">
        <f t="shared" si="24"/>
        <v>535.24</v>
      </c>
      <c r="BU35" s="15">
        <f t="shared" si="2"/>
        <v>1605.72</v>
      </c>
      <c r="BV35" s="15">
        <f t="shared" si="3"/>
        <v>24353.420000000002</v>
      </c>
      <c r="BW35" s="36">
        <f t="shared" si="4"/>
        <v>66.905000000000001</v>
      </c>
      <c r="BX35" s="15">
        <f t="shared" si="5"/>
        <v>3211.44</v>
      </c>
      <c r="BY35" s="88">
        <f t="shared" si="10"/>
        <v>43220.630000000005</v>
      </c>
      <c r="BZ35" s="22">
        <v>0.2</v>
      </c>
      <c r="CA35" s="29">
        <f t="shared" si="11"/>
        <v>8644.126000000002</v>
      </c>
      <c r="CB35" s="24">
        <v>0.13</v>
      </c>
      <c r="CC35" s="30">
        <f t="shared" si="12"/>
        <v>5618.6819000000005</v>
      </c>
      <c r="CD35" s="3">
        <v>10</v>
      </c>
      <c r="CE35" s="3">
        <v>1.2</v>
      </c>
      <c r="CF35" s="3">
        <f t="shared" si="0"/>
        <v>12</v>
      </c>
      <c r="CG35" s="30">
        <f t="shared" si="13"/>
        <v>5186.4756000000007</v>
      </c>
      <c r="CH35" s="44"/>
      <c r="CI35" s="29">
        <v>16</v>
      </c>
      <c r="CJ35" s="32">
        <f t="shared" si="6"/>
        <v>4281.92</v>
      </c>
      <c r="CK35" s="29">
        <f t="shared" si="14"/>
        <v>66951.833500000008</v>
      </c>
      <c r="CL35" s="106"/>
      <c r="CM35" s="106">
        <f t="shared" si="18"/>
        <v>66951.833500000008</v>
      </c>
      <c r="CN35" s="3">
        <f t="shared" si="7"/>
        <v>19.5</v>
      </c>
      <c r="CO35" s="120">
        <f t="shared" si="19"/>
        <v>13055.607532500002</v>
      </c>
      <c r="CP35" s="124"/>
      <c r="CQ35" s="122">
        <f t="shared" si="20"/>
        <v>53896.22596750001</v>
      </c>
      <c r="CR35" s="125">
        <v>2912.04</v>
      </c>
      <c r="CS35" s="123"/>
      <c r="CT35" s="123"/>
      <c r="CU35" s="123">
        <f t="shared" si="21"/>
        <v>56808.26596750001</v>
      </c>
      <c r="CV35" s="96">
        <v>62070.7</v>
      </c>
      <c r="CW35" s="169">
        <f t="shared" si="22"/>
        <v>-5262.4340324999866</v>
      </c>
    </row>
    <row r="36" spans="1:101" ht="15" x14ac:dyDescent="0.25">
      <c r="A36" s="48">
        <v>3172</v>
      </c>
      <c r="B36" s="49" t="s">
        <v>136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170">
        <v>44</v>
      </c>
      <c r="BL36" s="170">
        <v>3</v>
      </c>
      <c r="BM36" s="170">
        <v>107</v>
      </c>
      <c r="BN36" s="170">
        <v>48</v>
      </c>
      <c r="BO36" s="170">
        <f t="shared" si="8"/>
        <v>154</v>
      </c>
      <c r="BP36" s="15" t="s">
        <v>8</v>
      </c>
      <c r="BQ36" s="15">
        <v>267.62</v>
      </c>
      <c r="BR36" s="15">
        <f t="shared" si="9"/>
        <v>468.33500000000004</v>
      </c>
      <c r="BS36" s="15">
        <f t="shared" si="1"/>
        <v>20606.740000000002</v>
      </c>
      <c r="BT36" s="15">
        <f t="shared" si="24"/>
        <v>535.24</v>
      </c>
      <c r="BU36" s="15">
        <f t="shared" si="2"/>
        <v>1605.72</v>
      </c>
      <c r="BV36" s="15">
        <f t="shared" si="3"/>
        <v>28635.34</v>
      </c>
      <c r="BW36" s="36">
        <f t="shared" si="4"/>
        <v>66.905000000000001</v>
      </c>
      <c r="BX36" s="15">
        <f t="shared" si="5"/>
        <v>3211.44</v>
      </c>
      <c r="BY36" s="88">
        <f t="shared" si="10"/>
        <v>54059.240000000005</v>
      </c>
      <c r="BZ36" s="22">
        <v>0.2</v>
      </c>
      <c r="CA36" s="29">
        <f t="shared" si="11"/>
        <v>10811.848000000002</v>
      </c>
      <c r="CB36" s="24">
        <v>0.13</v>
      </c>
      <c r="CC36" s="30">
        <f t="shared" si="12"/>
        <v>7027.7012000000013</v>
      </c>
      <c r="CD36" s="3">
        <v>10</v>
      </c>
      <c r="CE36" s="3">
        <v>1.2</v>
      </c>
      <c r="CF36" s="3">
        <f t="shared" si="0"/>
        <v>12</v>
      </c>
      <c r="CG36" s="30">
        <f t="shared" si="13"/>
        <v>6487.1088</v>
      </c>
      <c r="CH36" s="44"/>
      <c r="CI36" s="29"/>
      <c r="CJ36" s="32">
        <f t="shared" si="6"/>
        <v>0</v>
      </c>
      <c r="CK36" s="29">
        <f t="shared" si="14"/>
        <v>78385.898000000001</v>
      </c>
      <c r="CL36" s="106"/>
      <c r="CM36" s="106">
        <f t="shared" si="18"/>
        <v>78385.898000000001</v>
      </c>
      <c r="CN36" s="3">
        <f t="shared" si="7"/>
        <v>19.5</v>
      </c>
      <c r="CO36" s="120">
        <f t="shared" si="19"/>
        <v>15285.250110000001</v>
      </c>
      <c r="CP36" s="124"/>
      <c r="CQ36" s="122">
        <f t="shared" si="20"/>
        <v>63100.64789</v>
      </c>
      <c r="CR36" s="125">
        <v>3409.36</v>
      </c>
      <c r="CS36" s="123"/>
      <c r="CT36" s="123"/>
      <c r="CU36" s="123">
        <f t="shared" si="21"/>
        <v>66510.007889999993</v>
      </c>
      <c r="CV36" s="96">
        <v>59435.65</v>
      </c>
      <c r="CW36" s="169">
        <f t="shared" si="22"/>
        <v>7074.357889999992</v>
      </c>
    </row>
    <row r="37" spans="1:101" ht="14.25" customHeight="1" x14ac:dyDescent="0.25">
      <c r="A37" s="48">
        <v>3175</v>
      </c>
      <c r="B37" s="49" t="s">
        <v>137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170">
        <v>45</v>
      </c>
      <c r="BL37" s="170">
        <v>4</v>
      </c>
      <c r="BM37" s="52">
        <v>106</v>
      </c>
      <c r="BN37" s="170">
        <v>48</v>
      </c>
      <c r="BO37" s="170">
        <f t="shared" si="8"/>
        <v>155</v>
      </c>
      <c r="BP37" s="15" t="s">
        <v>8</v>
      </c>
      <c r="BQ37" s="15">
        <v>267.62</v>
      </c>
      <c r="BR37" s="15">
        <f t="shared" si="9"/>
        <v>468.33500000000004</v>
      </c>
      <c r="BS37" s="15">
        <f t="shared" si="1"/>
        <v>21075.075000000001</v>
      </c>
      <c r="BT37" s="15">
        <f t="shared" si="24"/>
        <v>535.24</v>
      </c>
      <c r="BU37" s="15">
        <f t="shared" si="2"/>
        <v>2140.96</v>
      </c>
      <c r="BV37" s="15">
        <f t="shared" si="3"/>
        <v>28367.72</v>
      </c>
      <c r="BW37" s="36">
        <f t="shared" si="4"/>
        <v>66.905000000000001</v>
      </c>
      <c r="BX37" s="15">
        <f t="shared" si="5"/>
        <v>3211.44</v>
      </c>
      <c r="BY37" s="88">
        <f t="shared" si="10"/>
        <v>54795.195000000007</v>
      </c>
      <c r="BZ37" s="22">
        <v>0.2</v>
      </c>
      <c r="CA37" s="29">
        <f t="shared" si="11"/>
        <v>10959.039000000002</v>
      </c>
      <c r="CB37" s="24">
        <v>0.13</v>
      </c>
      <c r="CC37" s="30">
        <f t="shared" si="12"/>
        <v>7123.3753500000012</v>
      </c>
      <c r="CD37" s="3">
        <v>10</v>
      </c>
      <c r="CE37" s="3">
        <v>1.2</v>
      </c>
      <c r="CF37" s="3">
        <f t="shared" si="0"/>
        <v>12</v>
      </c>
      <c r="CG37" s="30">
        <f t="shared" si="13"/>
        <v>6575.4234000000006</v>
      </c>
      <c r="CH37" s="44"/>
      <c r="CI37" s="29"/>
      <c r="CJ37" s="32">
        <f t="shared" si="6"/>
        <v>0</v>
      </c>
      <c r="CK37" s="29">
        <f t="shared" si="14"/>
        <v>79453.032750000013</v>
      </c>
      <c r="CL37" s="106"/>
      <c r="CM37" s="106">
        <f t="shared" si="18"/>
        <v>79453.032750000013</v>
      </c>
      <c r="CN37" s="3">
        <f t="shared" si="7"/>
        <v>19.5</v>
      </c>
      <c r="CO37" s="120">
        <f t="shared" si="19"/>
        <v>15493.341386250004</v>
      </c>
      <c r="CP37" s="124"/>
      <c r="CQ37" s="122">
        <f t="shared" si="20"/>
        <v>63959.691363750011</v>
      </c>
      <c r="CR37" s="125">
        <v>3455.77</v>
      </c>
      <c r="CS37" s="123"/>
      <c r="CT37" s="123"/>
      <c r="CU37" s="123">
        <f>+CQ37+CR37-CT37</f>
        <v>67415.461363750015</v>
      </c>
      <c r="CV37" s="96">
        <v>62070.7</v>
      </c>
      <c r="CW37" s="169">
        <f t="shared" si="22"/>
        <v>5344.7613637500181</v>
      </c>
    </row>
    <row r="38" spans="1:101" ht="15" x14ac:dyDescent="0.25">
      <c r="A38" s="48">
        <v>3179</v>
      </c>
      <c r="B38" s="49" t="s">
        <v>138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170">
        <v>44</v>
      </c>
      <c r="BL38" s="170">
        <v>11</v>
      </c>
      <c r="BM38" s="170">
        <v>101</v>
      </c>
      <c r="BN38" s="170">
        <v>56</v>
      </c>
      <c r="BO38" s="170">
        <f t="shared" si="8"/>
        <v>156</v>
      </c>
      <c r="BP38" s="15" t="s">
        <v>75</v>
      </c>
      <c r="BQ38" s="15">
        <v>248.42</v>
      </c>
      <c r="BR38" s="15">
        <f t="shared" si="9"/>
        <v>434.73500000000001</v>
      </c>
      <c r="BS38" s="15">
        <f t="shared" si="1"/>
        <v>19128.34</v>
      </c>
      <c r="BT38" s="15">
        <f t="shared" si="24"/>
        <v>496.84</v>
      </c>
      <c r="BU38" s="15">
        <f t="shared" si="2"/>
        <v>5465.24</v>
      </c>
      <c r="BV38" s="15">
        <f t="shared" si="3"/>
        <v>25090.42</v>
      </c>
      <c r="BW38" s="36">
        <f t="shared" si="4"/>
        <v>62.104999999999997</v>
      </c>
      <c r="BX38" s="15">
        <f t="shared" si="5"/>
        <v>3477.8799999999997</v>
      </c>
      <c r="BY38" s="88">
        <f t="shared" si="10"/>
        <v>53161.88</v>
      </c>
      <c r="BZ38" s="22">
        <v>0.2</v>
      </c>
      <c r="CA38" s="29">
        <f t="shared" si="11"/>
        <v>10632.376</v>
      </c>
      <c r="CB38" s="24">
        <v>0.13</v>
      </c>
      <c r="CC38" s="30">
        <f t="shared" si="12"/>
        <v>6911.0443999999998</v>
      </c>
      <c r="CD38" s="3">
        <v>10</v>
      </c>
      <c r="CE38" s="3">
        <v>1.2</v>
      </c>
      <c r="CF38" s="3">
        <f t="shared" si="0"/>
        <v>12</v>
      </c>
      <c r="CG38" s="30">
        <f t="shared" si="13"/>
        <v>6379.4255999999996</v>
      </c>
      <c r="CH38" s="44"/>
      <c r="CI38" s="29"/>
      <c r="CJ38" s="32">
        <f t="shared" si="6"/>
        <v>0</v>
      </c>
      <c r="CK38" s="29">
        <f t="shared" si="14"/>
        <v>77084.725999999995</v>
      </c>
      <c r="CL38" s="106"/>
      <c r="CM38" s="106">
        <f t="shared" si="18"/>
        <v>77084.725999999995</v>
      </c>
      <c r="CN38" s="3">
        <f t="shared" si="7"/>
        <v>19.5</v>
      </c>
      <c r="CO38" s="120">
        <f t="shared" si="19"/>
        <v>15031.521569999999</v>
      </c>
      <c r="CP38" s="124"/>
      <c r="CQ38" s="122">
        <f t="shared" si="20"/>
        <v>62053.204429999998</v>
      </c>
      <c r="CR38" s="125">
        <v>3351.24</v>
      </c>
      <c r="CS38" s="123"/>
      <c r="CT38" s="123"/>
      <c r="CU38" s="123">
        <f>+CQ38+CR38-CT38</f>
        <v>65404.444429999996</v>
      </c>
      <c r="CV38" s="96">
        <v>61436.55</v>
      </c>
      <c r="CW38" s="169">
        <f t="shared" si="22"/>
        <v>3967.894429999993</v>
      </c>
    </row>
    <row r="39" spans="1:101" ht="15" hidden="1" customHeight="1" x14ac:dyDescent="0.25">
      <c r="A39" s="48">
        <v>3180</v>
      </c>
      <c r="B39" s="49" t="s">
        <v>85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19">
        <v>14</v>
      </c>
      <c r="BL39" s="19">
        <v>13</v>
      </c>
      <c r="BM39" s="52">
        <v>23</v>
      </c>
      <c r="BN39" s="19">
        <v>16</v>
      </c>
      <c r="BO39" s="88"/>
      <c r="BP39" s="88" t="s">
        <v>8</v>
      </c>
      <c r="BQ39" s="88">
        <v>194</v>
      </c>
      <c r="BR39" s="15">
        <f t="shared" si="9"/>
        <v>339.5</v>
      </c>
      <c r="BS39" s="15">
        <f t="shared" si="1"/>
        <v>4753</v>
      </c>
      <c r="BT39" s="15">
        <f t="shared" si="24"/>
        <v>388</v>
      </c>
      <c r="BU39" s="15">
        <f t="shared" si="2"/>
        <v>5044</v>
      </c>
      <c r="BV39" s="15">
        <f t="shared" si="3"/>
        <v>4462</v>
      </c>
      <c r="BW39" s="36">
        <f t="shared" si="4"/>
        <v>48.5</v>
      </c>
      <c r="BX39" s="15">
        <f t="shared" si="5"/>
        <v>776</v>
      </c>
      <c r="BY39" s="15">
        <f t="shared" si="10"/>
        <v>15035</v>
      </c>
      <c r="BZ39" s="22">
        <v>0.2</v>
      </c>
      <c r="CA39" s="29">
        <f t="shared" si="11"/>
        <v>3007</v>
      </c>
      <c r="CB39" s="24">
        <v>0.13</v>
      </c>
      <c r="CC39" s="30">
        <f t="shared" si="12"/>
        <v>1954.55</v>
      </c>
      <c r="CD39" s="3">
        <v>7</v>
      </c>
      <c r="CE39" s="3">
        <v>1.2</v>
      </c>
      <c r="CF39" s="3">
        <f t="shared" si="0"/>
        <v>8.4</v>
      </c>
      <c r="CG39" s="3">
        <f t="shared" si="13"/>
        <v>1262.94</v>
      </c>
      <c r="CH39" s="44"/>
      <c r="CI39" s="36"/>
      <c r="CJ39" s="32">
        <v>0</v>
      </c>
      <c r="CK39" s="29">
        <f t="shared" si="14"/>
        <v>21259.489999999998</v>
      </c>
      <c r="CL39" s="106">
        <f>+SAC!O34</f>
        <v>55606.404999999999</v>
      </c>
      <c r="CM39" s="106"/>
      <c r="CN39" s="3">
        <f t="shared" si="7"/>
        <v>19.5</v>
      </c>
      <c r="CO39" s="30">
        <f t="shared" si="15"/>
        <v>4145.6005500000001</v>
      </c>
      <c r="CP39" s="51"/>
      <c r="CQ39" s="45">
        <f t="shared" si="16"/>
        <v>17113.889449999999</v>
      </c>
      <c r="CV39" s="2"/>
      <c r="CW39" s="2"/>
    </row>
    <row r="40" spans="1:101" ht="15" hidden="1" x14ac:dyDescent="0.25">
      <c r="A40" s="48">
        <v>3183</v>
      </c>
      <c r="B40" s="49" t="s">
        <v>65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19">
        <v>8</v>
      </c>
      <c r="BL40" s="19">
        <v>7</v>
      </c>
      <c r="BM40" s="52">
        <v>17</v>
      </c>
      <c r="BN40" s="19">
        <v>16</v>
      </c>
      <c r="BO40" s="15"/>
      <c r="BP40" s="15" t="s">
        <v>8</v>
      </c>
      <c r="BQ40" s="15">
        <v>194</v>
      </c>
      <c r="BR40" s="15">
        <f t="shared" si="9"/>
        <v>339.5</v>
      </c>
      <c r="BS40" s="15">
        <f t="shared" si="1"/>
        <v>2716</v>
      </c>
      <c r="BT40" s="15">
        <f t="shared" si="24"/>
        <v>388</v>
      </c>
      <c r="BU40" s="15">
        <f t="shared" si="2"/>
        <v>2716</v>
      </c>
      <c r="BV40" s="15">
        <f t="shared" si="3"/>
        <v>3298</v>
      </c>
      <c r="BW40" s="36">
        <f t="shared" si="4"/>
        <v>48.5</v>
      </c>
      <c r="BX40" s="15">
        <f t="shared" si="5"/>
        <v>776</v>
      </c>
      <c r="BY40" s="15">
        <f t="shared" si="10"/>
        <v>9506</v>
      </c>
      <c r="BZ40" s="22">
        <v>0.2</v>
      </c>
      <c r="CA40" s="29">
        <f t="shared" si="11"/>
        <v>1901.2</v>
      </c>
      <c r="CB40" s="24">
        <v>0.13</v>
      </c>
      <c r="CC40" s="30">
        <f t="shared" si="12"/>
        <v>1235.78</v>
      </c>
      <c r="CD40" s="3">
        <v>8</v>
      </c>
      <c r="CE40" s="3">
        <v>1.2</v>
      </c>
      <c r="CF40" s="3">
        <f t="shared" si="0"/>
        <v>9.6</v>
      </c>
      <c r="CG40" s="3">
        <f t="shared" si="13"/>
        <v>912.57600000000002</v>
      </c>
      <c r="CH40" s="44"/>
      <c r="CI40" s="36"/>
      <c r="CJ40" s="32">
        <f t="shared" si="6"/>
        <v>0</v>
      </c>
      <c r="CK40" s="29">
        <f t="shared" si="14"/>
        <v>13555.556</v>
      </c>
      <c r="CL40" s="106">
        <f>+CP39*CQ39</f>
        <v>0</v>
      </c>
      <c r="CM40" s="106"/>
      <c r="CN40" s="3">
        <f t="shared" si="7"/>
        <v>19.5</v>
      </c>
      <c r="CO40" s="30">
        <f t="shared" si="15"/>
        <v>2643.3334200000004</v>
      </c>
      <c r="CP40" s="51"/>
      <c r="CQ40" s="45">
        <f t="shared" si="16"/>
        <v>10912.22258</v>
      </c>
      <c r="CV40" s="2"/>
      <c r="CW40" s="2"/>
    </row>
    <row r="41" spans="1:101" ht="15" hidden="1" x14ac:dyDescent="0.25">
      <c r="A41" s="48">
        <v>3187</v>
      </c>
      <c r="B41" s="49" t="s">
        <v>86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19">
        <v>0</v>
      </c>
      <c r="BL41" s="19">
        <v>0</v>
      </c>
      <c r="BM41" s="15">
        <v>0</v>
      </c>
      <c r="BN41" s="19">
        <v>0</v>
      </c>
      <c r="BO41" s="19"/>
      <c r="BP41" s="19" t="s">
        <v>8</v>
      </c>
      <c r="BQ41" s="19">
        <v>194</v>
      </c>
      <c r="BR41" s="15">
        <f t="shared" si="9"/>
        <v>339.5</v>
      </c>
      <c r="BS41" s="15">
        <f t="shared" si="1"/>
        <v>0</v>
      </c>
      <c r="BT41" s="15">
        <f t="shared" si="24"/>
        <v>388</v>
      </c>
      <c r="BU41" s="15">
        <f t="shared" si="2"/>
        <v>0</v>
      </c>
      <c r="BV41" s="15">
        <f t="shared" si="3"/>
        <v>0</v>
      </c>
      <c r="BW41" s="36">
        <f t="shared" si="4"/>
        <v>48.5</v>
      </c>
      <c r="BX41" s="15">
        <f t="shared" si="5"/>
        <v>0</v>
      </c>
      <c r="BY41" s="15">
        <f t="shared" si="10"/>
        <v>0</v>
      </c>
      <c r="BZ41" s="22">
        <v>0.2</v>
      </c>
      <c r="CA41" s="29">
        <f t="shared" si="11"/>
        <v>0</v>
      </c>
      <c r="CB41" s="24">
        <v>0.13</v>
      </c>
      <c r="CC41" s="30">
        <f t="shared" si="12"/>
        <v>0</v>
      </c>
      <c r="CD41" s="3">
        <v>7</v>
      </c>
      <c r="CE41" s="3">
        <v>1.2</v>
      </c>
      <c r="CF41" s="3">
        <f t="shared" si="0"/>
        <v>8.4</v>
      </c>
      <c r="CG41" s="3">
        <f t="shared" si="13"/>
        <v>0</v>
      </c>
      <c r="CH41" s="44"/>
      <c r="CI41" s="36"/>
      <c r="CJ41" s="32">
        <f t="shared" si="6"/>
        <v>0</v>
      </c>
      <c r="CK41" s="29">
        <v>0</v>
      </c>
      <c r="CL41" s="106">
        <f>+CP40*CQ40</f>
        <v>0</v>
      </c>
      <c r="CM41" s="106"/>
      <c r="CN41" s="3">
        <f t="shared" si="7"/>
        <v>19.5</v>
      </c>
      <c r="CO41" s="30">
        <f t="shared" si="15"/>
        <v>0</v>
      </c>
      <c r="CP41" s="51"/>
      <c r="CQ41" s="45">
        <f t="shared" si="16"/>
        <v>0</v>
      </c>
      <c r="CV41" s="2"/>
      <c r="CW41" s="2"/>
    </row>
    <row r="42" spans="1:101" ht="15" x14ac:dyDescent="0.25">
      <c r="A42" s="48">
        <v>3189</v>
      </c>
      <c r="B42" s="49" t="s">
        <v>139</v>
      </c>
      <c r="C42" s="55"/>
      <c r="D42" s="55"/>
      <c r="E42" s="55"/>
      <c r="F42" s="55"/>
      <c r="G42" s="55">
        <v>8</v>
      </c>
      <c r="H42" s="55">
        <v>0</v>
      </c>
      <c r="I42" s="55">
        <v>0</v>
      </c>
      <c r="J42" s="55">
        <v>8</v>
      </c>
      <c r="K42" s="55">
        <v>8</v>
      </c>
      <c r="L42" s="55">
        <v>0</v>
      </c>
      <c r="M42" s="55">
        <v>0</v>
      </c>
      <c r="N42" s="55">
        <v>8</v>
      </c>
      <c r="O42" s="55">
        <v>8</v>
      </c>
      <c r="P42" s="55">
        <v>0</v>
      </c>
      <c r="Q42" s="55">
        <v>0</v>
      </c>
      <c r="R42" s="55">
        <v>8</v>
      </c>
      <c r="S42" s="55">
        <v>7</v>
      </c>
      <c r="T42" s="55">
        <v>0</v>
      </c>
      <c r="U42" s="55">
        <v>0</v>
      </c>
      <c r="V42" s="55">
        <v>7</v>
      </c>
      <c r="W42" s="55"/>
      <c r="X42" s="55"/>
      <c r="Y42" s="55"/>
      <c r="Z42" s="55"/>
      <c r="AA42" s="55">
        <v>8</v>
      </c>
      <c r="AB42" s="55">
        <v>0</v>
      </c>
      <c r="AC42" s="55">
        <v>0</v>
      </c>
      <c r="AD42" s="55">
        <v>8</v>
      </c>
      <c r="AE42" s="55" t="s">
        <v>6</v>
      </c>
      <c r="AF42" s="55"/>
      <c r="AG42" s="55"/>
      <c r="AH42" s="55"/>
      <c r="AI42" s="55">
        <v>8</v>
      </c>
      <c r="AJ42" s="55">
        <v>0</v>
      </c>
      <c r="AK42" s="55">
        <v>0</v>
      </c>
      <c r="AL42" s="55">
        <v>8</v>
      </c>
      <c r="AM42" s="55">
        <v>8</v>
      </c>
      <c r="AN42" s="55">
        <v>0</v>
      </c>
      <c r="AO42" s="55">
        <v>0</v>
      </c>
      <c r="AP42" s="55">
        <v>8</v>
      </c>
      <c r="AQ42" s="55">
        <v>8</v>
      </c>
      <c r="AR42" s="55">
        <v>0</v>
      </c>
      <c r="AS42" s="55">
        <v>0</v>
      </c>
      <c r="AT42" s="55">
        <v>8</v>
      </c>
      <c r="AU42" s="55" t="s">
        <v>7</v>
      </c>
      <c r="AV42" s="55"/>
      <c r="AW42" s="55"/>
      <c r="AX42" s="55"/>
      <c r="AY42" s="55"/>
      <c r="AZ42" s="55"/>
      <c r="BA42" s="55"/>
      <c r="BB42" s="55"/>
      <c r="BC42" s="55">
        <v>8</v>
      </c>
      <c r="BD42" s="55">
        <v>0</v>
      </c>
      <c r="BE42" s="55">
        <v>0</v>
      </c>
      <c r="BF42" s="55">
        <v>8</v>
      </c>
      <c r="BG42" s="55">
        <v>8</v>
      </c>
      <c r="BH42" s="55">
        <v>0</v>
      </c>
      <c r="BI42" s="55">
        <v>0</v>
      </c>
      <c r="BJ42" s="50">
        <v>8</v>
      </c>
      <c r="BK42" s="19">
        <v>21</v>
      </c>
      <c r="BL42" s="19">
        <v>0</v>
      </c>
      <c r="BM42" s="19">
        <v>74</v>
      </c>
      <c r="BN42" s="19">
        <v>0</v>
      </c>
      <c r="BO42" s="170">
        <f t="shared" ref="BO42:BO64" si="25">BK42+BL42+BM42</f>
        <v>95</v>
      </c>
      <c r="BP42" s="15" t="s">
        <v>76</v>
      </c>
      <c r="BQ42" s="15">
        <v>286.60000000000002</v>
      </c>
      <c r="BR42" s="15">
        <f t="shared" si="9"/>
        <v>501.55000000000007</v>
      </c>
      <c r="BS42" s="15">
        <f t="shared" si="1"/>
        <v>10532.550000000001</v>
      </c>
      <c r="BT42" s="15">
        <f t="shared" si="24"/>
        <v>573.20000000000005</v>
      </c>
      <c r="BU42" s="15">
        <f t="shared" si="2"/>
        <v>0</v>
      </c>
      <c r="BV42" s="15">
        <f t="shared" si="3"/>
        <v>21208.400000000001</v>
      </c>
      <c r="BW42" s="36">
        <f t="shared" si="4"/>
        <v>71.650000000000006</v>
      </c>
      <c r="BX42" s="15">
        <f t="shared" si="5"/>
        <v>0</v>
      </c>
      <c r="BY42" s="88">
        <f t="shared" si="10"/>
        <v>31740.950000000004</v>
      </c>
      <c r="BZ42" s="22">
        <v>0.2</v>
      </c>
      <c r="CA42" s="29">
        <f t="shared" si="11"/>
        <v>6348.1900000000014</v>
      </c>
      <c r="CB42" s="24">
        <v>0.13</v>
      </c>
      <c r="CC42" s="30">
        <f t="shared" si="12"/>
        <v>4126.3235000000004</v>
      </c>
      <c r="CD42" s="3">
        <v>9</v>
      </c>
      <c r="CE42" s="3">
        <v>1.2</v>
      </c>
      <c r="CF42" s="3">
        <f t="shared" si="0"/>
        <v>10.799999999999999</v>
      </c>
      <c r="CG42" s="30">
        <f t="shared" si="13"/>
        <v>3428.0225999999998</v>
      </c>
      <c r="CH42" s="44"/>
      <c r="CI42" s="29">
        <v>32</v>
      </c>
      <c r="CJ42" s="32">
        <f t="shared" si="6"/>
        <v>9171.2000000000007</v>
      </c>
      <c r="CK42" s="29">
        <f t="shared" ref="CK42:CK64" si="26">BY42+CA42+CC42+CG42+CJ42+CH42</f>
        <v>54814.686100000006</v>
      </c>
      <c r="CL42" s="106"/>
      <c r="CM42" s="106">
        <f t="shared" ref="CM42:CM64" si="27">+CK42+CL42</f>
        <v>54814.686100000006</v>
      </c>
      <c r="CN42" s="3">
        <f t="shared" si="7"/>
        <v>19.5</v>
      </c>
      <c r="CO42" s="120">
        <f t="shared" ref="CO42:CO64" si="28">CM42*CN42%</f>
        <v>10688.863789500001</v>
      </c>
      <c r="CP42" s="126"/>
      <c r="CQ42" s="122">
        <f t="shared" ref="CQ42:CQ64" si="29">+CM42-CO42</f>
        <v>44125.822310500007</v>
      </c>
      <c r="CR42" s="125">
        <v>2383.08</v>
      </c>
      <c r="CS42" s="123">
        <v>11317.8</v>
      </c>
      <c r="CT42" s="123"/>
      <c r="CU42" s="123">
        <f>+CQ42+CR42+CS42</f>
        <v>57826.702310500012</v>
      </c>
      <c r="CV42" s="96">
        <v>41306.82</v>
      </c>
      <c r="CW42" s="169">
        <f t="shared" ref="CW42:CW64" si="30">+CU42-CV42</f>
        <v>16519.882310500012</v>
      </c>
    </row>
    <row r="43" spans="1:101" ht="14.25" customHeight="1" x14ac:dyDescent="0.25">
      <c r="A43" s="35">
        <v>3191</v>
      </c>
      <c r="B43" s="17" t="s">
        <v>140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9">
        <v>33</v>
      </c>
      <c r="BL43" s="19">
        <v>18</v>
      </c>
      <c r="BM43" s="19">
        <v>92</v>
      </c>
      <c r="BN43" s="19">
        <v>42</v>
      </c>
      <c r="BO43" s="170">
        <f t="shared" si="25"/>
        <v>143</v>
      </c>
      <c r="BP43" s="15" t="s">
        <v>8</v>
      </c>
      <c r="BQ43" s="15">
        <v>267.62</v>
      </c>
      <c r="BR43" s="15">
        <f t="shared" si="9"/>
        <v>468.33500000000004</v>
      </c>
      <c r="BS43" s="15">
        <f t="shared" si="1"/>
        <v>15455.055</v>
      </c>
      <c r="BT43" s="15">
        <f t="shared" si="24"/>
        <v>535.24</v>
      </c>
      <c r="BU43" s="15">
        <f t="shared" si="2"/>
        <v>9634.32</v>
      </c>
      <c r="BV43" s="15">
        <f t="shared" si="3"/>
        <v>24621.040000000001</v>
      </c>
      <c r="BW43" s="36">
        <f t="shared" si="4"/>
        <v>66.905000000000001</v>
      </c>
      <c r="BX43" s="15">
        <f t="shared" si="5"/>
        <v>2810.01</v>
      </c>
      <c r="BY43" s="88">
        <f t="shared" si="10"/>
        <v>52520.425000000003</v>
      </c>
      <c r="BZ43" s="22">
        <v>0.2</v>
      </c>
      <c r="CA43" s="29">
        <f t="shared" si="11"/>
        <v>10504.085000000001</v>
      </c>
      <c r="CB43" s="24">
        <v>0.13</v>
      </c>
      <c r="CC43" s="30">
        <f t="shared" si="12"/>
        <v>6827.6552500000007</v>
      </c>
      <c r="CD43" s="20">
        <v>9</v>
      </c>
      <c r="CE43" s="3">
        <v>1.2</v>
      </c>
      <c r="CF43" s="3">
        <f t="shared" si="0"/>
        <v>10.799999999999999</v>
      </c>
      <c r="CG43" s="30">
        <f t="shared" si="13"/>
        <v>5672.2058999999999</v>
      </c>
      <c r="CH43" s="44"/>
      <c r="CI43" s="29">
        <v>8</v>
      </c>
      <c r="CJ43" s="32">
        <f t="shared" si="6"/>
        <v>2140.96</v>
      </c>
      <c r="CK43" s="29">
        <f t="shared" si="26"/>
        <v>77665.331150000013</v>
      </c>
      <c r="CL43" s="106"/>
      <c r="CM43" s="106">
        <f t="shared" si="27"/>
        <v>77665.331150000013</v>
      </c>
      <c r="CN43" s="3">
        <f t="shared" si="7"/>
        <v>19.5</v>
      </c>
      <c r="CO43" s="120">
        <f t="shared" si="28"/>
        <v>15144.739574250003</v>
      </c>
      <c r="CP43" s="128"/>
      <c r="CQ43" s="122">
        <f t="shared" si="29"/>
        <v>62520.591575750012</v>
      </c>
      <c r="CR43" s="125">
        <v>3378.02</v>
      </c>
      <c r="CS43" s="123"/>
      <c r="CT43" s="123"/>
      <c r="CU43" s="123">
        <f t="shared" ref="CU43:CU64" si="31">+CQ43+CR43</f>
        <v>65898.611575750008</v>
      </c>
      <c r="CV43" s="96">
        <v>68265.97</v>
      </c>
      <c r="CW43" s="169">
        <f t="shared" si="30"/>
        <v>-2367.3584242499928</v>
      </c>
    </row>
    <row r="44" spans="1:101" ht="15" x14ac:dyDescent="0.25">
      <c r="A44" s="35">
        <v>3200</v>
      </c>
      <c r="B44" s="17" t="s">
        <v>141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60"/>
      <c r="BH44" s="56"/>
      <c r="BI44" s="56"/>
      <c r="BJ44" s="18"/>
      <c r="BK44" s="171">
        <v>44</v>
      </c>
      <c r="BL44" s="171">
        <v>7</v>
      </c>
      <c r="BM44" s="171">
        <v>101</v>
      </c>
      <c r="BN44" s="171">
        <v>56</v>
      </c>
      <c r="BO44" s="170">
        <f t="shared" si="25"/>
        <v>152</v>
      </c>
      <c r="BP44" s="15" t="s">
        <v>8</v>
      </c>
      <c r="BQ44" s="15">
        <v>267.62</v>
      </c>
      <c r="BR44" s="15">
        <f t="shared" si="9"/>
        <v>468.33500000000004</v>
      </c>
      <c r="BS44" s="15">
        <f t="shared" si="1"/>
        <v>20606.740000000002</v>
      </c>
      <c r="BT44" s="15">
        <f t="shared" si="24"/>
        <v>535.24</v>
      </c>
      <c r="BU44" s="15">
        <f t="shared" si="2"/>
        <v>3746.6800000000003</v>
      </c>
      <c r="BV44" s="15">
        <f t="shared" si="3"/>
        <v>27029.62</v>
      </c>
      <c r="BW44" s="36">
        <f t="shared" si="4"/>
        <v>66.905000000000001</v>
      </c>
      <c r="BX44" s="15">
        <f t="shared" si="5"/>
        <v>3746.6800000000003</v>
      </c>
      <c r="BY44" s="88">
        <f t="shared" si="10"/>
        <v>55129.72</v>
      </c>
      <c r="BZ44" s="22">
        <v>0.2</v>
      </c>
      <c r="CA44" s="29">
        <f t="shared" si="11"/>
        <v>11025.944000000001</v>
      </c>
      <c r="CB44" s="24">
        <v>0.13</v>
      </c>
      <c r="CC44" s="30">
        <f t="shared" si="12"/>
        <v>7166.8636000000006</v>
      </c>
      <c r="CD44" s="20">
        <v>7</v>
      </c>
      <c r="CE44" s="3">
        <v>1.2</v>
      </c>
      <c r="CF44" s="3">
        <f t="shared" si="0"/>
        <v>8.4</v>
      </c>
      <c r="CG44" s="30">
        <f t="shared" si="13"/>
        <v>4630.8964800000003</v>
      </c>
      <c r="CH44" s="44"/>
      <c r="CI44" s="174"/>
      <c r="CJ44" s="32">
        <f t="shared" si="6"/>
        <v>0</v>
      </c>
      <c r="CK44" s="29">
        <f t="shared" si="26"/>
        <v>77953.424079999997</v>
      </c>
      <c r="CL44" s="106"/>
      <c r="CM44" s="106">
        <f t="shared" si="27"/>
        <v>77953.424079999997</v>
      </c>
      <c r="CN44" s="3">
        <f t="shared" si="7"/>
        <v>19.5</v>
      </c>
      <c r="CO44" s="120">
        <f t="shared" si="28"/>
        <v>15200.917695599999</v>
      </c>
      <c r="CP44" s="128"/>
      <c r="CQ44" s="122">
        <f t="shared" si="29"/>
        <v>62752.506384399996</v>
      </c>
      <c r="CR44" s="125">
        <v>3390.55</v>
      </c>
      <c r="CS44" s="123"/>
      <c r="CT44" s="123"/>
      <c r="CU44" s="123">
        <f t="shared" si="31"/>
        <v>66143.056384399999</v>
      </c>
      <c r="CV44" s="96">
        <v>36975.160000000003</v>
      </c>
      <c r="CW44" s="169">
        <f t="shared" si="30"/>
        <v>29167.896384399995</v>
      </c>
    </row>
    <row r="45" spans="1:101" ht="15" x14ac:dyDescent="0.25">
      <c r="A45" s="35">
        <v>3201</v>
      </c>
      <c r="B45" s="17" t="s">
        <v>142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9">
        <v>40</v>
      </c>
      <c r="BL45" s="19">
        <v>2</v>
      </c>
      <c r="BM45" s="170">
        <v>106</v>
      </c>
      <c r="BN45" s="19">
        <v>48</v>
      </c>
      <c r="BO45" s="170">
        <f t="shared" si="25"/>
        <v>148</v>
      </c>
      <c r="BP45" s="15" t="s">
        <v>8</v>
      </c>
      <c r="BQ45" s="15">
        <v>267.62</v>
      </c>
      <c r="BR45" s="15">
        <f t="shared" si="9"/>
        <v>468.33500000000004</v>
      </c>
      <c r="BS45" s="15">
        <f t="shared" si="1"/>
        <v>18733.400000000001</v>
      </c>
      <c r="BT45" s="15">
        <f t="shared" si="24"/>
        <v>535.24</v>
      </c>
      <c r="BU45" s="15">
        <f t="shared" si="2"/>
        <v>1070.48</v>
      </c>
      <c r="BV45" s="15">
        <f t="shared" si="3"/>
        <v>28367.72</v>
      </c>
      <c r="BW45" s="36">
        <f t="shared" si="4"/>
        <v>66.905000000000001</v>
      </c>
      <c r="BX45" s="15">
        <f t="shared" si="5"/>
        <v>3211.44</v>
      </c>
      <c r="BY45" s="88">
        <f t="shared" si="10"/>
        <v>51383.040000000008</v>
      </c>
      <c r="BZ45" s="22">
        <v>0.2</v>
      </c>
      <c r="CA45" s="29">
        <f t="shared" si="11"/>
        <v>10276.608000000002</v>
      </c>
      <c r="CB45" s="24">
        <v>0.13</v>
      </c>
      <c r="CC45" s="30">
        <f t="shared" si="12"/>
        <v>6679.7952000000014</v>
      </c>
      <c r="CD45" s="20">
        <v>7</v>
      </c>
      <c r="CE45" s="3">
        <v>1.2</v>
      </c>
      <c r="CF45" s="3">
        <f t="shared" si="0"/>
        <v>8.4</v>
      </c>
      <c r="CG45" s="30">
        <f t="shared" si="13"/>
        <v>4316.1753600000011</v>
      </c>
      <c r="CH45" s="44"/>
      <c r="CI45" s="36"/>
      <c r="CJ45" s="32">
        <f t="shared" si="6"/>
        <v>0</v>
      </c>
      <c r="CK45" s="29">
        <f t="shared" si="26"/>
        <v>72655.618560000003</v>
      </c>
      <c r="CL45" s="106"/>
      <c r="CM45" s="106">
        <f t="shared" si="27"/>
        <v>72655.618560000003</v>
      </c>
      <c r="CN45" s="3">
        <f t="shared" si="7"/>
        <v>19.5</v>
      </c>
      <c r="CO45" s="120">
        <f t="shared" si="28"/>
        <v>14167.845619200001</v>
      </c>
      <c r="CP45" s="128"/>
      <c r="CQ45" s="122">
        <f t="shared" si="29"/>
        <v>58487.772940800001</v>
      </c>
      <c r="CR45" s="125">
        <v>3160.12</v>
      </c>
      <c r="CS45" s="123"/>
      <c r="CT45" s="123"/>
      <c r="CU45" s="123">
        <f t="shared" si="31"/>
        <v>61647.892940800004</v>
      </c>
      <c r="CV45" s="96">
        <v>60012.85</v>
      </c>
      <c r="CW45" s="169">
        <f t="shared" si="30"/>
        <v>1635.0429408000055</v>
      </c>
    </row>
    <row r="46" spans="1:101" ht="15" x14ac:dyDescent="0.25">
      <c r="A46" s="35">
        <v>3204</v>
      </c>
      <c r="B46" s="17" t="s">
        <v>143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9">
        <v>34</v>
      </c>
      <c r="BL46" s="19">
        <v>11</v>
      </c>
      <c r="BM46" s="19">
        <v>91</v>
      </c>
      <c r="BN46" s="19">
        <v>42</v>
      </c>
      <c r="BO46" s="170">
        <f t="shared" si="25"/>
        <v>136</v>
      </c>
      <c r="BP46" s="15" t="s">
        <v>8</v>
      </c>
      <c r="BQ46" s="15">
        <v>267.62</v>
      </c>
      <c r="BR46" s="15">
        <f t="shared" si="9"/>
        <v>468.33500000000004</v>
      </c>
      <c r="BS46" s="15">
        <f t="shared" si="1"/>
        <v>15923.390000000001</v>
      </c>
      <c r="BT46" s="15">
        <f t="shared" si="24"/>
        <v>535.24</v>
      </c>
      <c r="BU46" s="15">
        <f t="shared" si="2"/>
        <v>5887.64</v>
      </c>
      <c r="BV46" s="15">
        <f t="shared" si="3"/>
        <v>24353.420000000002</v>
      </c>
      <c r="BW46" s="36">
        <f t="shared" si="4"/>
        <v>66.905000000000001</v>
      </c>
      <c r="BX46" s="15">
        <f t="shared" si="5"/>
        <v>2810.01</v>
      </c>
      <c r="BY46" s="88">
        <f t="shared" si="10"/>
        <v>48974.460000000006</v>
      </c>
      <c r="BZ46" s="22">
        <v>0.2</v>
      </c>
      <c r="CA46" s="29">
        <f t="shared" si="11"/>
        <v>9794.8920000000016</v>
      </c>
      <c r="CB46" s="24">
        <v>0.13</v>
      </c>
      <c r="CC46" s="30">
        <f t="shared" si="12"/>
        <v>6366.6798000000008</v>
      </c>
      <c r="CD46" s="20">
        <v>7</v>
      </c>
      <c r="CE46" s="3">
        <v>1.2</v>
      </c>
      <c r="CF46" s="3">
        <f t="shared" si="0"/>
        <v>8.4</v>
      </c>
      <c r="CG46" s="30">
        <f t="shared" si="13"/>
        <v>4113.8546400000005</v>
      </c>
      <c r="CH46" s="44"/>
      <c r="CI46" s="36">
        <v>8</v>
      </c>
      <c r="CJ46" s="32">
        <f t="shared" si="6"/>
        <v>2140.96</v>
      </c>
      <c r="CK46" s="29">
        <f t="shared" si="26"/>
        <v>71390.846440000008</v>
      </c>
      <c r="CL46" s="106"/>
      <c r="CM46" s="106">
        <f t="shared" si="27"/>
        <v>71390.846440000008</v>
      </c>
      <c r="CN46" s="3">
        <f t="shared" si="7"/>
        <v>19.5</v>
      </c>
      <c r="CO46" s="120">
        <f t="shared" si="28"/>
        <v>13921.215055800003</v>
      </c>
      <c r="CP46" s="128"/>
      <c r="CQ46" s="122">
        <f t="shared" si="29"/>
        <v>57469.631384200009</v>
      </c>
      <c r="CR46" s="125">
        <v>3105.11</v>
      </c>
      <c r="CS46" s="123"/>
      <c r="CT46" s="123"/>
      <c r="CU46" s="123">
        <f t="shared" si="31"/>
        <v>60574.74138420001</v>
      </c>
      <c r="CV46" s="96">
        <v>64588.28</v>
      </c>
      <c r="CW46" s="169">
        <f t="shared" si="30"/>
        <v>-4013.5386157999892</v>
      </c>
    </row>
    <row r="47" spans="1:101" ht="15" x14ac:dyDescent="0.25">
      <c r="A47" s="35">
        <v>3205</v>
      </c>
      <c r="B47" s="17" t="s">
        <v>144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9">
        <v>44</v>
      </c>
      <c r="BL47" s="19">
        <v>7</v>
      </c>
      <c r="BM47" s="19">
        <v>107</v>
      </c>
      <c r="BN47" s="19">
        <v>48</v>
      </c>
      <c r="BO47" s="170">
        <f t="shared" si="25"/>
        <v>158</v>
      </c>
      <c r="BP47" s="15" t="s">
        <v>75</v>
      </c>
      <c r="BQ47" s="15">
        <v>248.42</v>
      </c>
      <c r="BR47" s="15">
        <f t="shared" si="9"/>
        <v>434.73500000000001</v>
      </c>
      <c r="BS47" s="15">
        <f t="shared" si="1"/>
        <v>19128.34</v>
      </c>
      <c r="BT47" s="15">
        <f t="shared" si="24"/>
        <v>496.84</v>
      </c>
      <c r="BU47" s="15">
        <f t="shared" si="2"/>
        <v>3477.8799999999997</v>
      </c>
      <c r="BV47" s="15">
        <f t="shared" si="3"/>
        <v>26580.94</v>
      </c>
      <c r="BW47" s="36">
        <f t="shared" si="4"/>
        <v>62.104999999999997</v>
      </c>
      <c r="BX47" s="15">
        <f t="shared" si="5"/>
        <v>2981.04</v>
      </c>
      <c r="BY47" s="88">
        <f t="shared" si="10"/>
        <v>52168.200000000004</v>
      </c>
      <c r="BZ47" s="22">
        <v>0.2</v>
      </c>
      <c r="CA47" s="29">
        <f t="shared" si="11"/>
        <v>10433.640000000001</v>
      </c>
      <c r="CB47" s="24">
        <v>0.13</v>
      </c>
      <c r="CC47" s="30">
        <f t="shared" si="12"/>
        <v>6781.8660000000009</v>
      </c>
      <c r="CD47" s="20">
        <v>5</v>
      </c>
      <c r="CE47" s="3">
        <v>1.2</v>
      </c>
      <c r="CF47" s="3">
        <f t="shared" si="0"/>
        <v>6</v>
      </c>
      <c r="CG47" s="30">
        <f t="shared" si="13"/>
        <v>3130.0920000000001</v>
      </c>
      <c r="CH47" s="44">
        <v>0</v>
      </c>
      <c r="CI47" s="36"/>
      <c r="CJ47" s="32">
        <f t="shared" si="6"/>
        <v>0</v>
      </c>
      <c r="CK47" s="29">
        <f>BY47+CA47+CC47+CG47+CJ47+CH47</f>
        <v>72513.79800000001</v>
      </c>
      <c r="CL47" s="106"/>
      <c r="CM47" s="106">
        <f>+CK47+CL47</f>
        <v>72513.79800000001</v>
      </c>
      <c r="CN47" s="3">
        <f t="shared" si="7"/>
        <v>19.5</v>
      </c>
      <c r="CO47" s="120">
        <f t="shared" si="28"/>
        <v>14140.190610000003</v>
      </c>
      <c r="CP47" s="128"/>
      <c r="CQ47" s="122">
        <f t="shared" si="29"/>
        <v>58373.607390000005</v>
      </c>
      <c r="CR47" s="125">
        <v>3152.52</v>
      </c>
      <c r="CS47" s="123">
        <v>6221.08</v>
      </c>
      <c r="CT47" s="123">
        <f>(CM47)*20%</f>
        <v>14502.759600000003</v>
      </c>
      <c r="CU47" s="123">
        <f>+CQ47+CR47-CT47+CS47</f>
        <v>53244.447789999998</v>
      </c>
      <c r="CV47" s="96">
        <v>53014.46</v>
      </c>
      <c r="CW47" s="169">
        <f t="shared" si="30"/>
        <v>229.98778999999922</v>
      </c>
    </row>
    <row r="48" spans="1:101" ht="16.5" customHeight="1" x14ac:dyDescent="0.25">
      <c r="A48" s="35">
        <v>3207</v>
      </c>
      <c r="B48" s="17" t="s">
        <v>145</v>
      </c>
      <c r="C48" s="56"/>
      <c r="D48" s="56"/>
      <c r="E48" s="56"/>
      <c r="F48" s="56"/>
      <c r="G48" s="56">
        <v>8</v>
      </c>
      <c r="H48" s="56">
        <v>0</v>
      </c>
      <c r="I48" s="56">
        <v>0</v>
      </c>
      <c r="J48" s="56">
        <v>8</v>
      </c>
      <c r="K48" s="56">
        <v>8</v>
      </c>
      <c r="L48" s="56">
        <v>0</v>
      </c>
      <c r="M48" s="56">
        <v>0</v>
      </c>
      <c r="N48" s="56">
        <v>8</v>
      </c>
      <c r="O48" s="56">
        <v>8</v>
      </c>
      <c r="P48" s="56">
        <v>0</v>
      </c>
      <c r="Q48" s="56">
        <v>0</v>
      </c>
      <c r="R48" s="56">
        <v>8</v>
      </c>
      <c r="S48" s="56">
        <v>7</v>
      </c>
      <c r="T48" s="56">
        <v>0</v>
      </c>
      <c r="U48" s="56">
        <v>0</v>
      </c>
      <c r="V48" s="56">
        <v>7</v>
      </c>
      <c r="W48" s="56"/>
      <c r="X48" s="56"/>
      <c r="Y48" s="56"/>
      <c r="Z48" s="56"/>
      <c r="AA48" s="56">
        <v>8</v>
      </c>
      <c r="AB48" s="56">
        <v>0</v>
      </c>
      <c r="AC48" s="56">
        <v>0</v>
      </c>
      <c r="AD48" s="56">
        <v>8</v>
      </c>
      <c r="AE48" s="56" t="s">
        <v>6</v>
      </c>
      <c r="AF48" s="56"/>
      <c r="AG48" s="56"/>
      <c r="AH48" s="56"/>
      <c r="AI48" s="56">
        <v>8</v>
      </c>
      <c r="AJ48" s="56">
        <v>0</v>
      </c>
      <c r="AK48" s="56">
        <v>0</v>
      </c>
      <c r="AL48" s="56">
        <v>8</v>
      </c>
      <c r="AM48" s="56">
        <v>8</v>
      </c>
      <c r="AN48" s="56">
        <v>0</v>
      </c>
      <c r="AO48" s="56">
        <v>0</v>
      </c>
      <c r="AP48" s="56">
        <v>8</v>
      </c>
      <c r="AQ48" s="56" t="s">
        <v>6</v>
      </c>
      <c r="AR48" s="56"/>
      <c r="AS48" s="56"/>
      <c r="AT48" s="56"/>
      <c r="AU48" s="56">
        <v>6</v>
      </c>
      <c r="AV48" s="56">
        <v>0</v>
      </c>
      <c r="AW48" s="56">
        <v>0</v>
      </c>
      <c r="AX48" s="56">
        <v>6</v>
      </c>
      <c r="AY48" s="56"/>
      <c r="AZ48" s="56"/>
      <c r="BA48" s="56"/>
      <c r="BB48" s="56"/>
      <c r="BC48" s="56" t="s">
        <v>6</v>
      </c>
      <c r="BD48" s="56"/>
      <c r="BE48" s="56"/>
      <c r="BF48" s="56"/>
      <c r="BG48" s="56">
        <v>8</v>
      </c>
      <c r="BH48" s="56">
        <v>0</v>
      </c>
      <c r="BI48" s="56">
        <v>0</v>
      </c>
      <c r="BJ48" s="18">
        <v>8</v>
      </c>
      <c r="BK48" s="19">
        <v>20</v>
      </c>
      <c r="BL48" s="19">
        <v>6</v>
      </c>
      <c r="BM48" s="19">
        <v>78</v>
      </c>
      <c r="BN48" s="19">
        <v>0</v>
      </c>
      <c r="BO48" s="170">
        <f t="shared" si="25"/>
        <v>104</v>
      </c>
      <c r="BP48" s="15" t="s">
        <v>76</v>
      </c>
      <c r="BQ48" s="15">
        <v>286.60000000000002</v>
      </c>
      <c r="BR48" s="15">
        <f t="shared" si="9"/>
        <v>501.55000000000007</v>
      </c>
      <c r="BS48" s="15">
        <f t="shared" si="1"/>
        <v>10031.000000000002</v>
      </c>
      <c r="BT48" s="15">
        <f t="shared" si="24"/>
        <v>573.20000000000005</v>
      </c>
      <c r="BU48" s="15">
        <f t="shared" si="2"/>
        <v>3439.2000000000003</v>
      </c>
      <c r="BV48" s="15">
        <f t="shared" si="3"/>
        <v>22354.800000000003</v>
      </c>
      <c r="BW48" s="36">
        <f t="shared" si="4"/>
        <v>71.650000000000006</v>
      </c>
      <c r="BX48" s="15">
        <f t="shared" si="5"/>
        <v>0</v>
      </c>
      <c r="BY48" s="88">
        <f t="shared" si="10"/>
        <v>35825.000000000007</v>
      </c>
      <c r="BZ48" s="22">
        <v>0.2</v>
      </c>
      <c r="CA48" s="29">
        <f t="shared" si="11"/>
        <v>7165.0000000000018</v>
      </c>
      <c r="CB48" s="24">
        <v>0.13</v>
      </c>
      <c r="CC48" s="30">
        <f t="shared" si="12"/>
        <v>4657.2500000000009</v>
      </c>
      <c r="CD48" s="20">
        <v>5</v>
      </c>
      <c r="CE48" s="3">
        <v>1.2</v>
      </c>
      <c r="CF48" s="3">
        <f t="shared" si="0"/>
        <v>6</v>
      </c>
      <c r="CG48" s="30">
        <f t="shared" si="13"/>
        <v>2149.5000000000005</v>
      </c>
      <c r="CH48" s="44"/>
      <c r="CI48" s="36">
        <v>24</v>
      </c>
      <c r="CJ48" s="32">
        <f t="shared" si="6"/>
        <v>6878.4000000000005</v>
      </c>
      <c r="CK48" s="29">
        <f t="shared" si="26"/>
        <v>56675.150000000009</v>
      </c>
      <c r="CL48" s="106"/>
      <c r="CM48" s="106">
        <f t="shared" si="27"/>
        <v>56675.150000000009</v>
      </c>
      <c r="CN48" s="3">
        <f t="shared" si="7"/>
        <v>19.5</v>
      </c>
      <c r="CO48" s="120">
        <f t="shared" si="28"/>
        <v>11051.654250000001</v>
      </c>
      <c r="CP48" s="128"/>
      <c r="CQ48" s="122">
        <f t="shared" si="29"/>
        <v>45623.495750000009</v>
      </c>
      <c r="CR48" s="125">
        <v>2463.9699999999998</v>
      </c>
      <c r="CS48" s="123"/>
      <c r="CT48" s="123"/>
      <c r="CU48" s="123">
        <f t="shared" si="31"/>
        <v>48087.46575000001</v>
      </c>
      <c r="CV48" s="96">
        <v>51296.74</v>
      </c>
      <c r="CW48" s="169">
        <f t="shared" si="30"/>
        <v>-3209.2742499999877</v>
      </c>
    </row>
    <row r="49" spans="1:101" ht="15" x14ac:dyDescent="0.25">
      <c r="A49" s="35">
        <v>3209</v>
      </c>
      <c r="B49" s="17" t="s">
        <v>71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9">
        <v>44</v>
      </c>
      <c r="BL49" s="19">
        <v>16</v>
      </c>
      <c r="BM49" s="19">
        <v>101</v>
      </c>
      <c r="BN49" s="19">
        <v>56</v>
      </c>
      <c r="BO49" s="170">
        <f t="shared" si="25"/>
        <v>161</v>
      </c>
      <c r="BP49" s="15" t="s">
        <v>8</v>
      </c>
      <c r="BQ49" s="15">
        <v>267.62</v>
      </c>
      <c r="BR49" s="15">
        <f t="shared" si="9"/>
        <v>468.33500000000004</v>
      </c>
      <c r="BS49" s="15">
        <f t="shared" si="1"/>
        <v>20606.740000000002</v>
      </c>
      <c r="BT49" s="19">
        <f t="shared" si="24"/>
        <v>535.24</v>
      </c>
      <c r="BU49" s="15">
        <f t="shared" si="2"/>
        <v>8563.84</v>
      </c>
      <c r="BV49" s="15">
        <f t="shared" si="3"/>
        <v>27029.62</v>
      </c>
      <c r="BW49" s="36">
        <f t="shared" si="4"/>
        <v>66.905000000000001</v>
      </c>
      <c r="BX49" s="15">
        <f t="shared" si="5"/>
        <v>3746.6800000000003</v>
      </c>
      <c r="BY49" s="88">
        <f t="shared" si="10"/>
        <v>59946.879999999997</v>
      </c>
      <c r="BZ49" s="22">
        <v>0.2</v>
      </c>
      <c r="CA49" s="29">
        <f t="shared" si="11"/>
        <v>11989.376</v>
      </c>
      <c r="CB49" s="24">
        <v>0.13</v>
      </c>
      <c r="CC49" s="30">
        <f t="shared" si="12"/>
        <v>7793.0944</v>
      </c>
      <c r="CD49" s="20">
        <v>5</v>
      </c>
      <c r="CE49" s="3">
        <v>1.2</v>
      </c>
      <c r="CF49" s="3">
        <f t="shared" si="0"/>
        <v>6</v>
      </c>
      <c r="CG49" s="30">
        <f t="shared" si="13"/>
        <v>3596.8127999999997</v>
      </c>
      <c r="CH49" s="44"/>
      <c r="CI49" s="36"/>
      <c r="CJ49" s="32">
        <f t="shared" si="6"/>
        <v>0</v>
      </c>
      <c r="CK49" s="29">
        <f t="shared" si="26"/>
        <v>83326.163199999995</v>
      </c>
      <c r="CL49" s="106"/>
      <c r="CM49" s="106">
        <f t="shared" si="27"/>
        <v>83326.163199999995</v>
      </c>
      <c r="CN49" s="3">
        <f t="shared" si="7"/>
        <v>19.5</v>
      </c>
      <c r="CO49" s="120">
        <f t="shared" si="28"/>
        <v>16248.601823999999</v>
      </c>
      <c r="CP49" s="128"/>
      <c r="CQ49" s="122">
        <f t="shared" si="29"/>
        <v>67077.561375999998</v>
      </c>
      <c r="CR49" s="125">
        <v>3624.23</v>
      </c>
      <c r="CS49" s="123"/>
      <c r="CT49" s="123"/>
      <c r="CU49" s="123">
        <f t="shared" si="31"/>
        <v>70701.791375999994</v>
      </c>
      <c r="CV49" s="96">
        <v>64627.56</v>
      </c>
      <c r="CW49" s="169">
        <f t="shared" si="30"/>
        <v>6074.2313759999961</v>
      </c>
    </row>
    <row r="50" spans="1:101" ht="14.25" customHeight="1" x14ac:dyDescent="0.25">
      <c r="A50" s="35">
        <v>3210</v>
      </c>
      <c r="B50" s="17" t="s">
        <v>146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18"/>
      <c r="BK50" s="19">
        <v>44</v>
      </c>
      <c r="BL50" s="19">
        <v>2</v>
      </c>
      <c r="BM50" s="19">
        <v>108</v>
      </c>
      <c r="BN50" s="19">
        <v>0</v>
      </c>
      <c r="BO50" s="170">
        <f t="shared" si="25"/>
        <v>154</v>
      </c>
      <c r="BP50" s="15" t="s">
        <v>76</v>
      </c>
      <c r="BQ50" s="15">
        <v>286.60000000000002</v>
      </c>
      <c r="BR50" s="15">
        <f t="shared" si="9"/>
        <v>501.55000000000007</v>
      </c>
      <c r="BS50" s="15">
        <f t="shared" si="1"/>
        <v>22068.200000000004</v>
      </c>
      <c r="BT50" s="19">
        <f t="shared" si="24"/>
        <v>573.20000000000005</v>
      </c>
      <c r="BU50" s="15">
        <f t="shared" si="2"/>
        <v>1146.4000000000001</v>
      </c>
      <c r="BV50" s="15">
        <f t="shared" si="3"/>
        <v>30952.800000000003</v>
      </c>
      <c r="BW50" s="36">
        <f t="shared" si="4"/>
        <v>71.650000000000006</v>
      </c>
      <c r="BX50" s="15">
        <f t="shared" si="5"/>
        <v>0</v>
      </c>
      <c r="BY50" s="88">
        <f t="shared" si="10"/>
        <v>54167.400000000009</v>
      </c>
      <c r="BZ50" s="22">
        <v>0.2</v>
      </c>
      <c r="CA50" s="29">
        <f t="shared" si="11"/>
        <v>10833.480000000003</v>
      </c>
      <c r="CB50" s="24">
        <v>0.13</v>
      </c>
      <c r="CC50" s="30">
        <f t="shared" si="12"/>
        <v>7041.7620000000015</v>
      </c>
      <c r="CD50" s="20">
        <v>2</v>
      </c>
      <c r="CE50" s="3">
        <v>1.2</v>
      </c>
      <c r="CF50" s="3">
        <f t="shared" si="0"/>
        <v>2.4</v>
      </c>
      <c r="CG50" s="30">
        <f t="shared" si="13"/>
        <v>1300.0176000000001</v>
      </c>
      <c r="CH50" s="44"/>
      <c r="CI50" s="36"/>
      <c r="CJ50" s="32">
        <f t="shared" si="6"/>
        <v>0</v>
      </c>
      <c r="CK50" s="29">
        <f t="shared" si="26"/>
        <v>73342.659600000014</v>
      </c>
      <c r="CL50" s="106"/>
      <c r="CM50" s="106">
        <f t="shared" si="27"/>
        <v>73342.659600000014</v>
      </c>
      <c r="CN50" s="3">
        <f t="shared" si="7"/>
        <v>19.5</v>
      </c>
      <c r="CO50" s="120">
        <f t="shared" si="28"/>
        <v>14301.818622000003</v>
      </c>
      <c r="CP50" s="128"/>
      <c r="CQ50" s="122">
        <f t="shared" si="29"/>
        <v>59040.840978000007</v>
      </c>
      <c r="CR50" s="125">
        <v>3188.59</v>
      </c>
      <c r="CS50" s="123"/>
      <c r="CT50" s="123"/>
      <c r="CU50" s="123">
        <f t="shared" si="31"/>
        <v>62229.430978000004</v>
      </c>
      <c r="CV50" s="96">
        <v>56684.24</v>
      </c>
      <c r="CW50" s="169">
        <f t="shared" si="30"/>
        <v>5545.190978000006</v>
      </c>
    </row>
    <row r="51" spans="1:101" ht="15" x14ac:dyDescent="0.25">
      <c r="A51" s="40">
        <v>3212</v>
      </c>
      <c r="B51" s="17" t="s">
        <v>147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9">
        <v>44</v>
      </c>
      <c r="BL51" s="19">
        <v>3</v>
      </c>
      <c r="BM51" s="19">
        <v>107</v>
      </c>
      <c r="BN51" s="19">
        <v>48</v>
      </c>
      <c r="BO51" s="170">
        <f t="shared" si="25"/>
        <v>154</v>
      </c>
      <c r="BP51" s="15" t="s">
        <v>8</v>
      </c>
      <c r="BQ51" s="15">
        <v>267.62</v>
      </c>
      <c r="BR51" s="15">
        <f t="shared" si="9"/>
        <v>468.33500000000004</v>
      </c>
      <c r="BS51" s="15">
        <f t="shared" si="1"/>
        <v>20606.740000000002</v>
      </c>
      <c r="BT51" s="19">
        <f t="shared" si="24"/>
        <v>535.24</v>
      </c>
      <c r="BU51" s="15">
        <f t="shared" si="2"/>
        <v>1605.72</v>
      </c>
      <c r="BV51" s="15">
        <f t="shared" si="3"/>
        <v>28635.34</v>
      </c>
      <c r="BW51" s="36">
        <f t="shared" si="4"/>
        <v>66.905000000000001</v>
      </c>
      <c r="BX51" s="15">
        <f t="shared" si="5"/>
        <v>3211.44</v>
      </c>
      <c r="BY51" s="88">
        <f t="shared" si="10"/>
        <v>54059.240000000005</v>
      </c>
      <c r="BZ51" s="22">
        <v>0.2</v>
      </c>
      <c r="CA51" s="29">
        <f t="shared" si="11"/>
        <v>10811.848000000002</v>
      </c>
      <c r="CB51" s="24">
        <v>0.13</v>
      </c>
      <c r="CC51" s="30">
        <f t="shared" si="12"/>
        <v>7027.7012000000013</v>
      </c>
      <c r="CD51" s="20">
        <v>2</v>
      </c>
      <c r="CE51" s="3">
        <v>1.2</v>
      </c>
      <c r="CF51" s="3">
        <f t="shared" si="0"/>
        <v>2.4</v>
      </c>
      <c r="CG51" s="30">
        <f t="shared" si="13"/>
        <v>1297.4217600000002</v>
      </c>
      <c r="CH51" s="44"/>
      <c r="CI51" s="36"/>
      <c r="CJ51" s="32">
        <f t="shared" si="6"/>
        <v>0</v>
      </c>
      <c r="CK51" s="29">
        <f t="shared" si="26"/>
        <v>73196.210959999997</v>
      </c>
      <c r="CL51" s="106"/>
      <c r="CM51" s="106">
        <f t="shared" si="27"/>
        <v>73196.210959999997</v>
      </c>
      <c r="CN51" s="3">
        <f t="shared" si="7"/>
        <v>19.5</v>
      </c>
      <c r="CO51" s="120">
        <f t="shared" si="28"/>
        <v>14273.261137199999</v>
      </c>
      <c r="CP51" s="128"/>
      <c r="CQ51" s="122">
        <f t="shared" si="29"/>
        <v>58922.949822800001</v>
      </c>
      <c r="CR51" s="125">
        <v>3183.63</v>
      </c>
      <c r="CS51" s="123"/>
      <c r="CT51" s="123"/>
      <c r="CU51" s="123">
        <f t="shared" si="31"/>
        <v>62106.579822799999</v>
      </c>
      <c r="CV51" s="96">
        <v>58081.46</v>
      </c>
      <c r="CW51" s="169">
        <f t="shared" si="30"/>
        <v>4025.1198227999994</v>
      </c>
    </row>
    <row r="52" spans="1:101" ht="15" x14ac:dyDescent="0.25">
      <c r="A52" s="40">
        <v>3213</v>
      </c>
      <c r="B52" s="17" t="s">
        <v>78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9">
        <v>44</v>
      </c>
      <c r="BL52" s="19">
        <v>3</v>
      </c>
      <c r="BM52" s="100">
        <v>107</v>
      </c>
      <c r="BN52" s="19">
        <v>48</v>
      </c>
      <c r="BO52" s="170">
        <f t="shared" si="25"/>
        <v>154</v>
      </c>
      <c r="BP52" s="15" t="s">
        <v>8</v>
      </c>
      <c r="BQ52" s="15">
        <v>267.62</v>
      </c>
      <c r="BR52" s="15">
        <f t="shared" si="9"/>
        <v>468.33500000000004</v>
      </c>
      <c r="BS52" s="15">
        <f t="shared" si="1"/>
        <v>20606.740000000002</v>
      </c>
      <c r="BT52" s="19">
        <f t="shared" si="24"/>
        <v>535.24</v>
      </c>
      <c r="BU52" s="15">
        <f t="shared" si="2"/>
        <v>1605.72</v>
      </c>
      <c r="BV52" s="15">
        <f t="shared" si="3"/>
        <v>28635.34</v>
      </c>
      <c r="BW52" s="36">
        <f t="shared" si="4"/>
        <v>66.905000000000001</v>
      </c>
      <c r="BX52" s="15">
        <f>BN52*BW52</f>
        <v>3211.44</v>
      </c>
      <c r="BY52" s="88">
        <f t="shared" si="10"/>
        <v>54059.240000000005</v>
      </c>
      <c r="BZ52" s="22">
        <v>0.2</v>
      </c>
      <c r="CA52" s="29">
        <f t="shared" si="11"/>
        <v>10811.848000000002</v>
      </c>
      <c r="CB52" s="24">
        <v>0.13</v>
      </c>
      <c r="CC52" s="30">
        <f t="shared" si="12"/>
        <v>7027.7012000000013</v>
      </c>
      <c r="CD52" s="20">
        <v>2</v>
      </c>
      <c r="CE52" s="3">
        <v>1.2</v>
      </c>
      <c r="CF52" s="3">
        <f t="shared" si="0"/>
        <v>2.4</v>
      </c>
      <c r="CG52" s="30">
        <f t="shared" si="13"/>
        <v>1297.4217600000002</v>
      </c>
      <c r="CH52" s="44"/>
      <c r="CI52" s="36"/>
      <c r="CJ52" s="32">
        <f t="shared" si="6"/>
        <v>0</v>
      </c>
      <c r="CK52" s="29">
        <f t="shared" si="26"/>
        <v>73196.210959999997</v>
      </c>
      <c r="CL52" s="106"/>
      <c r="CM52" s="106">
        <f t="shared" si="27"/>
        <v>73196.210959999997</v>
      </c>
      <c r="CN52" s="3">
        <f t="shared" si="7"/>
        <v>19.5</v>
      </c>
      <c r="CO52" s="120">
        <f t="shared" si="28"/>
        <v>14273.261137199999</v>
      </c>
      <c r="CP52" s="128"/>
      <c r="CQ52" s="122">
        <f t="shared" si="29"/>
        <v>58922.949822800001</v>
      </c>
      <c r="CR52" s="125">
        <v>3183.63</v>
      </c>
      <c r="CS52" s="123"/>
      <c r="CT52" s="123"/>
      <c r="CU52" s="123">
        <f t="shared" si="31"/>
        <v>62106.579822799999</v>
      </c>
      <c r="CV52" s="96">
        <v>58081.46</v>
      </c>
      <c r="CW52" s="169">
        <f t="shared" si="30"/>
        <v>4025.1198227999994</v>
      </c>
    </row>
    <row r="53" spans="1:101" ht="15" x14ac:dyDescent="0.25">
      <c r="A53" s="40">
        <v>3214</v>
      </c>
      <c r="B53" s="17" t="s">
        <v>79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9">
        <v>40</v>
      </c>
      <c r="BL53" s="19">
        <v>11</v>
      </c>
      <c r="BM53" s="19">
        <v>101</v>
      </c>
      <c r="BN53" s="19">
        <v>56</v>
      </c>
      <c r="BO53" s="170">
        <f t="shared" si="25"/>
        <v>152</v>
      </c>
      <c r="BP53" s="15" t="s">
        <v>75</v>
      </c>
      <c r="BQ53" s="15">
        <v>248.42</v>
      </c>
      <c r="BR53" s="15">
        <f t="shared" si="9"/>
        <v>434.73500000000001</v>
      </c>
      <c r="BS53" s="15">
        <f t="shared" si="1"/>
        <v>17389.400000000001</v>
      </c>
      <c r="BT53" s="19">
        <f t="shared" si="24"/>
        <v>496.84</v>
      </c>
      <c r="BU53" s="15">
        <f t="shared" si="2"/>
        <v>5465.24</v>
      </c>
      <c r="BV53" s="15">
        <f t="shared" si="3"/>
        <v>25090.42</v>
      </c>
      <c r="BW53" s="36">
        <f t="shared" si="4"/>
        <v>62.104999999999997</v>
      </c>
      <c r="BX53" s="15">
        <f t="shared" si="5"/>
        <v>3477.8799999999997</v>
      </c>
      <c r="BY53" s="88">
        <f t="shared" si="10"/>
        <v>51422.939999999995</v>
      </c>
      <c r="BZ53" s="22">
        <v>0.2</v>
      </c>
      <c r="CA53" s="29">
        <f t="shared" si="11"/>
        <v>10284.588</v>
      </c>
      <c r="CB53" s="24">
        <v>0.13</v>
      </c>
      <c r="CC53" s="30">
        <f t="shared" si="12"/>
        <v>6684.9821999999995</v>
      </c>
      <c r="CD53" s="20">
        <v>2</v>
      </c>
      <c r="CE53" s="3">
        <v>1.2</v>
      </c>
      <c r="CF53" s="3">
        <f t="shared" si="0"/>
        <v>2.4</v>
      </c>
      <c r="CG53" s="30">
        <f t="shared" si="13"/>
        <v>1234.1505599999998</v>
      </c>
      <c r="CH53" s="44"/>
      <c r="CI53" s="36"/>
      <c r="CJ53" s="32">
        <f t="shared" si="6"/>
        <v>0</v>
      </c>
      <c r="CK53" s="29">
        <f t="shared" si="26"/>
        <v>69626.660759999984</v>
      </c>
      <c r="CL53" s="106"/>
      <c r="CM53" s="106">
        <f t="shared" si="27"/>
        <v>69626.660759999984</v>
      </c>
      <c r="CN53" s="3">
        <f t="shared" si="7"/>
        <v>19.5</v>
      </c>
      <c r="CO53" s="120">
        <f t="shared" si="28"/>
        <v>13577.198848199998</v>
      </c>
      <c r="CP53" s="128"/>
      <c r="CQ53" s="122">
        <f t="shared" si="29"/>
        <v>56049.461911799983</v>
      </c>
      <c r="CR53" s="125">
        <v>3027</v>
      </c>
      <c r="CS53" s="123"/>
      <c r="CT53" s="123"/>
      <c r="CU53" s="123">
        <f t="shared" si="31"/>
        <v>59076.461911799983</v>
      </c>
      <c r="CV53" s="96">
        <v>51149.74</v>
      </c>
      <c r="CW53" s="169">
        <f t="shared" si="30"/>
        <v>7926.7219117999848</v>
      </c>
    </row>
    <row r="54" spans="1:101" ht="15" x14ac:dyDescent="0.25">
      <c r="A54" s="40">
        <v>3215</v>
      </c>
      <c r="B54" s="17" t="s">
        <v>148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>
        <v>44</v>
      </c>
      <c r="BL54" s="19">
        <v>3</v>
      </c>
      <c r="BM54" s="19">
        <v>101</v>
      </c>
      <c r="BN54" s="19">
        <v>56</v>
      </c>
      <c r="BO54" s="170">
        <f t="shared" si="25"/>
        <v>148</v>
      </c>
      <c r="BP54" s="15" t="s">
        <v>8</v>
      </c>
      <c r="BQ54" s="15">
        <v>267.62</v>
      </c>
      <c r="BR54" s="15">
        <f t="shared" si="9"/>
        <v>468.33500000000004</v>
      </c>
      <c r="BS54" s="15">
        <f t="shared" si="1"/>
        <v>20606.740000000002</v>
      </c>
      <c r="BT54" s="19">
        <f t="shared" si="24"/>
        <v>535.24</v>
      </c>
      <c r="BU54" s="15">
        <f t="shared" si="2"/>
        <v>1605.72</v>
      </c>
      <c r="BV54" s="15">
        <f t="shared" si="3"/>
        <v>27029.62</v>
      </c>
      <c r="BW54" s="36">
        <f t="shared" si="4"/>
        <v>66.905000000000001</v>
      </c>
      <c r="BX54" s="15">
        <f t="shared" si="5"/>
        <v>3746.6800000000003</v>
      </c>
      <c r="BY54" s="88">
        <f t="shared" si="10"/>
        <v>52988.76</v>
      </c>
      <c r="BZ54" s="22">
        <v>0.2</v>
      </c>
      <c r="CA54" s="29">
        <f t="shared" si="11"/>
        <v>10597.752</v>
      </c>
      <c r="CB54" s="24">
        <v>0.13</v>
      </c>
      <c r="CC54" s="30">
        <f t="shared" si="12"/>
        <v>6888.5388000000003</v>
      </c>
      <c r="CD54" s="20">
        <v>2</v>
      </c>
      <c r="CE54" s="3">
        <v>1.2</v>
      </c>
      <c r="CF54" s="3">
        <f t="shared" si="0"/>
        <v>2.4</v>
      </c>
      <c r="CG54" s="30">
        <f t="shared" si="13"/>
        <v>1271.7302400000001</v>
      </c>
      <c r="CH54" s="44"/>
      <c r="CI54" s="36"/>
      <c r="CJ54" s="32">
        <f t="shared" si="6"/>
        <v>0</v>
      </c>
      <c r="CK54" s="29">
        <f t="shared" si="26"/>
        <v>71746.781040000002</v>
      </c>
      <c r="CL54" s="106"/>
      <c r="CM54" s="106">
        <f t="shared" si="27"/>
        <v>71746.781040000002</v>
      </c>
      <c r="CN54" s="3">
        <f t="shared" si="7"/>
        <v>19.5</v>
      </c>
      <c r="CO54" s="120">
        <f t="shared" si="28"/>
        <v>13990.6223028</v>
      </c>
      <c r="CP54" s="128"/>
      <c r="CQ54" s="122">
        <f t="shared" si="29"/>
        <v>57756.158737199999</v>
      </c>
      <c r="CR54" s="125">
        <v>3120.59</v>
      </c>
      <c r="CS54" s="123"/>
      <c r="CT54" s="123"/>
      <c r="CU54" s="123">
        <f t="shared" si="31"/>
        <v>60876.748737200003</v>
      </c>
      <c r="CV54" s="96">
        <v>58081.46</v>
      </c>
      <c r="CW54" s="169">
        <f t="shared" si="30"/>
        <v>2795.2887372000041</v>
      </c>
    </row>
    <row r="55" spans="1:101" ht="15" x14ac:dyDescent="0.25">
      <c r="A55" s="40">
        <v>3216</v>
      </c>
      <c r="B55" s="17" t="s">
        <v>149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9">
        <v>36</v>
      </c>
      <c r="BL55" s="19">
        <v>3</v>
      </c>
      <c r="BM55" s="19">
        <v>107</v>
      </c>
      <c r="BN55" s="19">
        <v>44</v>
      </c>
      <c r="BO55" s="170">
        <f t="shared" si="25"/>
        <v>146</v>
      </c>
      <c r="BP55" s="15" t="s">
        <v>75</v>
      </c>
      <c r="BQ55" s="15">
        <v>248.42</v>
      </c>
      <c r="BR55" s="19">
        <f t="shared" si="9"/>
        <v>434.73500000000001</v>
      </c>
      <c r="BS55" s="15">
        <f t="shared" si="1"/>
        <v>15650.460000000001</v>
      </c>
      <c r="BT55" s="19">
        <f t="shared" si="24"/>
        <v>496.84</v>
      </c>
      <c r="BU55" s="15">
        <f t="shared" si="2"/>
        <v>1490.52</v>
      </c>
      <c r="BV55" s="15">
        <f t="shared" si="3"/>
        <v>26580.94</v>
      </c>
      <c r="BW55" s="37">
        <f t="shared" si="4"/>
        <v>62.104999999999997</v>
      </c>
      <c r="BX55" s="15">
        <f t="shared" si="5"/>
        <v>2732.62</v>
      </c>
      <c r="BY55" s="88">
        <f t="shared" si="10"/>
        <v>46454.54</v>
      </c>
      <c r="BZ55" s="22">
        <v>0.2</v>
      </c>
      <c r="CA55" s="29">
        <f t="shared" si="11"/>
        <v>9290.9080000000013</v>
      </c>
      <c r="CB55" s="24">
        <v>0.13</v>
      </c>
      <c r="CC55" s="30">
        <f t="shared" si="12"/>
        <v>6039.0902000000006</v>
      </c>
      <c r="CD55" s="20">
        <v>2</v>
      </c>
      <c r="CE55" s="3">
        <v>1.2</v>
      </c>
      <c r="CF55" s="3">
        <f t="shared" si="0"/>
        <v>2.4</v>
      </c>
      <c r="CG55" s="30">
        <f t="shared" si="13"/>
        <v>1114.90896</v>
      </c>
      <c r="CH55" s="44"/>
      <c r="CI55" s="36"/>
      <c r="CJ55" s="32">
        <f t="shared" si="6"/>
        <v>0</v>
      </c>
      <c r="CK55" s="29">
        <f t="shared" si="26"/>
        <v>62899.447160000003</v>
      </c>
      <c r="CL55" s="106"/>
      <c r="CM55" s="106">
        <f t="shared" si="27"/>
        <v>62899.447160000003</v>
      </c>
      <c r="CN55" s="3">
        <f t="shared" si="7"/>
        <v>19.5</v>
      </c>
      <c r="CO55" s="120">
        <f t="shared" si="28"/>
        <v>12265.3921962</v>
      </c>
      <c r="CP55" s="128"/>
      <c r="CQ55" s="122">
        <f t="shared" si="29"/>
        <v>50634.054963800001</v>
      </c>
      <c r="CR55" s="125">
        <v>2734.54</v>
      </c>
      <c r="CS55" s="123"/>
      <c r="CT55" s="123"/>
      <c r="CU55" s="123">
        <f t="shared" si="31"/>
        <v>53368.594963800002</v>
      </c>
      <c r="CV55" s="96">
        <v>52771.67</v>
      </c>
      <c r="CW55" s="169">
        <f t="shared" si="30"/>
        <v>596.92496380000375</v>
      </c>
    </row>
    <row r="56" spans="1:101" ht="15" x14ac:dyDescent="0.25">
      <c r="A56" s="40">
        <v>3217</v>
      </c>
      <c r="B56" s="17" t="s">
        <v>83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9">
        <v>44</v>
      </c>
      <c r="BL56" s="19">
        <v>3</v>
      </c>
      <c r="BM56" s="19">
        <v>107</v>
      </c>
      <c r="BN56" s="19">
        <v>48</v>
      </c>
      <c r="BO56" s="170">
        <f t="shared" si="25"/>
        <v>154</v>
      </c>
      <c r="BP56" s="15" t="s">
        <v>8</v>
      </c>
      <c r="BQ56" s="15">
        <v>267.62</v>
      </c>
      <c r="BR56" s="19">
        <f t="shared" si="9"/>
        <v>468.33500000000004</v>
      </c>
      <c r="BS56" s="15">
        <f t="shared" si="1"/>
        <v>20606.740000000002</v>
      </c>
      <c r="BT56" s="19">
        <f t="shared" si="24"/>
        <v>535.24</v>
      </c>
      <c r="BU56" s="15">
        <f t="shared" si="2"/>
        <v>1605.72</v>
      </c>
      <c r="BV56" s="15">
        <f t="shared" si="3"/>
        <v>28635.34</v>
      </c>
      <c r="BW56" s="37">
        <f t="shared" si="4"/>
        <v>66.905000000000001</v>
      </c>
      <c r="BX56" s="15">
        <f t="shared" si="5"/>
        <v>3211.44</v>
      </c>
      <c r="BY56" s="88">
        <f t="shared" si="10"/>
        <v>54059.240000000005</v>
      </c>
      <c r="BZ56" s="22">
        <v>0.2</v>
      </c>
      <c r="CA56" s="29">
        <f t="shared" si="11"/>
        <v>10811.848000000002</v>
      </c>
      <c r="CB56" s="24">
        <v>0.13</v>
      </c>
      <c r="CC56" s="30">
        <f t="shared" si="12"/>
        <v>7027.7012000000013</v>
      </c>
      <c r="CD56" s="20">
        <v>2</v>
      </c>
      <c r="CE56" s="3">
        <v>1.2</v>
      </c>
      <c r="CF56" s="3">
        <f t="shared" si="0"/>
        <v>2.4</v>
      </c>
      <c r="CG56" s="30">
        <f t="shared" si="13"/>
        <v>1297.4217600000002</v>
      </c>
      <c r="CH56" s="44"/>
      <c r="CI56" s="36"/>
      <c r="CJ56" s="32">
        <f t="shared" si="6"/>
        <v>0</v>
      </c>
      <c r="CK56" s="29">
        <f t="shared" si="26"/>
        <v>73196.210959999997</v>
      </c>
      <c r="CL56" s="106"/>
      <c r="CM56" s="106">
        <f t="shared" si="27"/>
        <v>73196.210959999997</v>
      </c>
      <c r="CN56" s="3">
        <f t="shared" si="7"/>
        <v>19.5</v>
      </c>
      <c r="CO56" s="120">
        <f t="shared" si="28"/>
        <v>14273.261137199999</v>
      </c>
      <c r="CP56" s="128"/>
      <c r="CQ56" s="122">
        <f t="shared" si="29"/>
        <v>58922.949822800001</v>
      </c>
      <c r="CR56" s="125">
        <v>3183.63</v>
      </c>
      <c r="CS56" s="123"/>
      <c r="CT56" s="123"/>
      <c r="CU56" s="123">
        <f t="shared" si="31"/>
        <v>62106.579822799999</v>
      </c>
      <c r="CV56" s="96">
        <v>58081.46</v>
      </c>
      <c r="CW56" s="169">
        <f t="shared" si="30"/>
        <v>4025.1198227999994</v>
      </c>
    </row>
    <row r="57" spans="1:101" ht="15" x14ac:dyDescent="0.25">
      <c r="A57" s="40">
        <v>3218</v>
      </c>
      <c r="B57" s="17" t="s">
        <v>84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9">
        <v>26</v>
      </c>
      <c r="BL57" s="19">
        <v>0</v>
      </c>
      <c r="BM57" s="19">
        <v>107</v>
      </c>
      <c r="BN57" s="19">
        <v>0</v>
      </c>
      <c r="BO57" s="170">
        <f t="shared" si="25"/>
        <v>133</v>
      </c>
      <c r="BP57" s="15" t="s">
        <v>75</v>
      </c>
      <c r="BQ57" s="15">
        <v>248.42</v>
      </c>
      <c r="BR57" s="19">
        <f t="shared" si="9"/>
        <v>434.73500000000001</v>
      </c>
      <c r="BS57" s="15">
        <f t="shared" si="1"/>
        <v>11303.11</v>
      </c>
      <c r="BT57" s="19">
        <f t="shared" si="24"/>
        <v>496.84</v>
      </c>
      <c r="BU57" s="15">
        <f t="shared" si="2"/>
        <v>0</v>
      </c>
      <c r="BV57" s="15">
        <f t="shared" si="3"/>
        <v>26580.94</v>
      </c>
      <c r="BW57" s="37">
        <f t="shared" si="4"/>
        <v>62.104999999999997</v>
      </c>
      <c r="BX57" s="15">
        <f t="shared" si="5"/>
        <v>0</v>
      </c>
      <c r="BY57" s="88">
        <f t="shared" si="10"/>
        <v>37884.050000000003</v>
      </c>
      <c r="BZ57" s="22">
        <v>0.2</v>
      </c>
      <c r="CA57" s="29">
        <f t="shared" si="11"/>
        <v>7576.8100000000013</v>
      </c>
      <c r="CB57" s="24">
        <v>0.13</v>
      </c>
      <c r="CC57" s="30">
        <f t="shared" si="12"/>
        <v>4924.9265000000005</v>
      </c>
      <c r="CD57" s="20">
        <v>2</v>
      </c>
      <c r="CE57" s="3">
        <v>1.2</v>
      </c>
      <c r="CF57" s="3">
        <f t="shared" si="0"/>
        <v>2.4</v>
      </c>
      <c r="CG57" s="30">
        <f t="shared" si="13"/>
        <v>909.21720000000005</v>
      </c>
      <c r="CH57" s="44"/>
      <c r="CI57" s="36"/>
      <c r="CJ57" s="32">
        <f t="shared" si="6"/>
        <v>0</v>
      </c>
      <c r="CK57" s="29">
        <f t="shared" si="26"/>
        <v>51295.003700000001</v>
      </c>
      <c r="CL57" s="106"/>
      <c r="CM57" s="106">
        <f t="shared" si="27"/>
        <v>51295.003700000001</v>
      </c>
      <c r="CN57" s="3">
        <f t="shared" si="7"/>
        <v>19.5</v>
      </c>
      <c r="CO57" s="120">
        <f t="shared" si="28"/>
        <v>10002.5257215</v>
      </c>
      <c r="CP57" s="128"/>
      <c r="CQ57" s="122">
        <f t="shared" si="29"/>
        <v>41292.477978499999</v>
      </c>
      <c r="CR57" s="125">
        <v>2230.04</v>
      </c>
      <c r="CS57" s="123"/>
      <c r="CT57" s="123"/>
      <c r="CU57" s="123">
        <f t="shared" si="31"/>
        <v>43522.5179785</v>
      </c>
      <c r="CV57" s="96">
        <v>48562.11</v>
      </c>
      <c r="CW57" s="169">
        <f t="shared" si="30"/>
        <v>-5039.5920215000006</v>
      </c>
    </row>
    <row r="58" spans="1:101" ht="15" x14ac:dyDescent="0.25">
      <c r="A58" s="35">
        <v>3219</v>
      </c>
      <c r="B58" s="17" t="s">
        <v>90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9">
        <v>8</v>
      </c>
      <c r="BL58" s="19">
        <v>2</v>
      </c>
      <c r="BM58" s="19">
        <v>108</v>
      </c>
      <c r="BN58" s="19">
        <v>0</v>
      </c>
      <c r="BO58" s="170">
        <f t="shared" si="25"/>
        <v>118</v>
      </c>
      <c r="BP58" s="15" t="s">
        <v>76</v>
      </c>
      <c r="BQ58" s="15">
        <v>286.60000000000002</v>
      </c>
      <c r="BR58" s="19">
        <f t="shared" ref="BR58:BR64" si="32">(BQ58*0.75)+BQ58</f>
        <v>501.55000000000007</v>
      </c>
      <c r="BS58" s="15">
        <f t="shared" ref="BS58:BS64" si="33">BK58*BR58</f>
        <v>4012.4000000000005</v>
      </c>
      <c r="BT58" s="19">
        <f t="shared" ref="BT58:BT64" si="34">BQ58*2</f>
        <v>573.20000000000005</v>
      </c>
      <c r="BU58" s="15">
        <f>BL58*BT58</f>
        <v>1146.4000000000001</v>
      </c>
      <c r="BV58" s="15">
        <f t="shared" ref="BV58:BV64" si="35">BM58*BQ58</f>
        <v>30952.800000000003</v>
      </c>
      <c r="BW58" s="37">
        <f t="shared" ref="BW58:BW64" si="36">BQ58*0.25</f>
        <v>71.650000000000006</v>
      </c>
      <c r="BX58" s="15">
        <f t="shared" ref="BX58:BX64" si="37">BN58*BW58</f>
        <v>0</v>
      </c>
      <c r="BY58" s="88">
        <f t="shared" si="10"/>
        <v>36111.600000000006</v>
      </c>
      <c r="BZ58" s="22">
        <v>0.2</v>
      </c>
      <c r="CA58" s="29">
        <f t="shared" si="11"/>
        <v>7222.3200000000015</v>
      </c>
      <c r="CB58" s="24">
        <v>0.13</v>
      </c>
      <c r="CC58" s="30">
        <f t="shared" si="12"/>
        <v>4694.5080000000007</v>
      </c>
      <c r="CD58" s="20">
        <v>0</v>
      </c>
      <c r="CE58" s="3">
        <v>1.2</v>
      </c>
      <c r="CF58" s="3">
        <f t="shared" ref="CF58:CF64" si="38">CD58*CE58</f>
        <v>0</v>
      </c>
      <c r="CG58" s="30">
        <f t="shared" si="13"/>
        <v>0</v>
      </c>
      <c r="CH58" s="44"/>
      <c r="CI58" s="36"/>
      <c r="CJ58" s="32">
        <f t="shared" ref="CJ58:CJ64" si="39">CI58*BQ58</f>
        <v>0</v>
      </c>
      <c r="CK58" s="29">
        <f t="shared" si="26"/>
        <v>48028.428000000007</v>
      </c>
      <c r="CL58" s="106"/>
      <c r="CM58" s="106">
        <f t="shared" si="27"/>
        <v>48028.428000000007</v>
      </c>
      <c r="CN58" s="3">
        <f t="shared" si="7"/>
        <v>19.5</v>
      </c>
      <c r="CO58" s="120">
        <f t="shared" si="28"/>
        <v>9365.5434600000026</v>
      </c>
      <c r="CP58" s="128"/>
      <c r="CQ58" s="122">
        <f t="shared" si="29"/>
        <v>38662.884540000006</v>
      </c>
      <c r="CR58" s="125">
        <v>2088.0500000000002</v>
      </c>
      <c r="CS58" s="123"/>
      <c r="CT58" s="123"/>
      <c r="CU58" s="123">
        <f t="shared" si="31"/>
        <v>40750.934540000009</v>
      </c>
      <c r="CV58" s="96">
        <v>57735.35</v>
      </c>
      <c r="CW58" s="169">
        <f t="shared" si="30"/>
        <v>-16984.415459999989</v>
      </c>
    </row>
    <row r="59" spans="1:101" ht="15" x14ac:dyDescent="0.25">
      <c r="A59" s="35">
        <v>3220</v>
      </c>
      <c r="B59" s="17" t="s">
        <v>94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9">
        <v>36</v>
      </c>
      <c r="BL59" s="19">
        <v>2</v>
      </c>
      <c r="BM59" s="19">
        <v>108</v>
      </c>
      <c r="BN59" s="19">
        <v>0</v>
      </c>
      <c r="BO59" s="170">
        <f t="shared" si="25"/>
        <v>146</v>
      </c>
      <c r="BP59" s="15" t="s">
        <v>75</v>
      </c>
      <c r="BQ59" s="15">
        <v>248.42</v>
      </c>
      <c r="BR59" s="19">
        <f t="shared" si="32"/>
        <v>434.73500000000001</v>
      </c>
      <c r="BS59" s="15">
        <f t="shared" si="33"/>
        <v>15650.460000000001</v>
      </c>
      <c r="BT59" s="19">
        <f t="shared" si="34"/>
        <v>496.84</v>
      </c>
      <c r="BU59" s="15">
        <f t="shared" ref="BU59:BU64" si="40">BL59*BT59</f>
        <v>993.68</v>
      </c>
      <c r="BV59" s="15">
        <f t="shared" si="35"/>
        <v>26829.359999999997</v>
      </c>
      <c r="BW59" s="37">
        <f t="shared" si="36"/>
        <v>62.104999999999997</v>
      </c>
      <c r="BX59" s="15">
        <f t="shared" si="37"/>
        <v>0</v>
      </c>
      <c r="BY59" s="88">
        <f t="shared" si="10"/>
        <v>43473.5</v>
      </c>
      <c r="BZ59" s="22">
        <v>0.2</v>
      </c>
      <c r="CA59" s="29">
        <f t="shared" si="11"/>
        <v>8694.7000000000007</v>
      </c>
      <c r="CB59" s="24">
        <v>0.13</v>
      </c>
      <c r="CC59" s="30">
        <f t="shared" si="12"/>
        <v>5651.5550000000003</v>
      </c>
      <c r="CD59" s="20">
        <v>0</v>
      </c>
      <c r="CE59" s="3">
        <v>1.2</v>
      </c>
      <c r="CF59" s="3">
        <f t="shared" si="38"/>
        <v>0</v>
      </c>
      <c r="CG59" s="30">
        <f t="shared" si="13"/>
        <v>0</v>
      </c>
      <c r="CH59" s="44"/>
      <c r="CI59" s="36"/>
      <c r="CJ59" s="32">
        <f t="shared" si="39"/>
        <v>0</v>
      </c>
      <c r="CK59" s="29">
        <f t="shared" si="26"/>
        <v>57819.754999999997</v>
      </c>
      <c r="CL59" s="106"/>
      <c r="CM59" s="106">
        <f t="shared" si="27"/>
        <v>57819.754999999997</v>
      </c>
      <c r="CN59" s="3">
        <f t="shared" si="7"/>
        <v>19.5</v>
      </c>
      <c r="CO59" s="120">
        <f t="shared" si="28"/>
        <v>11274.852225000001</v>
      </c>
      <c r="CP59" s="128"/>
      <c r="CQ59" s="122">
        <f t="shared" si="29"/>
        <v>46544.902774999995</v>
      </c>
      <c r="CR59" s="125">
        <v>2513.6999999999998</v>
      </c>
      <c r="CS59" s="123"/>
      <c r="CT59" s="123"/>
      <c r="CU59" s="123">
        <f t="shared" si="31"/>
        <v>49058.602774999992</v>
      </c>
      <c r="CV59" s="96">
        <v>52987.5</v>
      </c>
      <c r="CW59" s="169">
        <f t="shared" si="30"/>
        <v>-3928.8972250000079</v>
      </c>
    </row>
    <row r="60" spans="1:101" ht="15" x14ac:dyDescent="0.25">
      <c r="A60" s="35">
        <v>3221</v>
      </c>
      <c r="B60" s="17" t="s">
        <v>95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70">
        <v>40</v>
      </c>
      <c r="BL60" s="170">
        <v>3</v>
      </c>
      <c r="BM60" s="170">
        <v>105</v>
      </c>
      <c r="BN60" s="170">
        <v>48</v>
      </c>
      <c r="BO60" s="170">
        <f t="shared" si="25"/>
        <v>148</v>
      </c>
      <c r="BP60" s="15" t="s">
        <v>75</v>
      </c>
      <c r="BQ60" s="15">
        <v>248.42</v>
      </c>
      <c r="BR60" s="19">
        <f t="shared" si="32"/>
        <v>434.73500000000001</v>
      </c>
      <c r="BS60" s="15">
        <f t="shared" si="33"/>
        <v>17389.400000000001</v>
      </c>
      <c r="BT60" s="19">
        <f t="shared" si="34"/>
        <v>496.84</v>
      </c>
      <c r="BU60" s="15">
        <f t="shared" si="40"/>
        <v>1490.52</v>
      </c>
      <c r="BV60" s="15">
        <f t="shared" si="35"/>
        <v>26084.1</v>
      </c>
      <c r="BW60" s="37">
        <f t="shared" si="36"/>
        <v>62.104999999999997</v>
      </c>
      <c r="BX60" s="15">
        <f t="shared" si="37"/>
        <v>2981.04</v>
      </c>
      <c r="BY60" s="88">
        <f t="shared" si="10"/>
        <v>47945.060000000005</v>
      </c>
      <c r="BZ60" s="22">
        <v>0.2</v>
      </c>
      <c r="CA60" s="29">
        <f t="shared" si="11"/>
        <v>9589.0120000000006</v>
      </c>
      <c r="CB60" s="24">
        <v>0.13</v>
      </c>
      <c r="CC60" s="30">
        <f t="shared" si="12"/>
        <v>6232.8578000000007</v>
      </c>
      <c r="CD60" s="20">
        <v>0</v>
      </c>
      <c r="CE60" s="3">
        <v>1.2</v>
      </c>
      <c r="CF60" s="3">
        <f t="shared" si="38"/>
        <v>0</v>
      </c>
      <c r="CG60" s="30">
        <f t="shared" si="13"/>
        <v>0</v>
      </c>
      <c r="CH60" s="44"/>
      <c r="CI60" s="36"/>
      <c r="CJ60" s="32">
        <f t="shared" si="39"/>
        <v>0</v>
      </c>
      <c r="CK60" s="29">
        <f t="shared" si="26"/>
        <v>63766.929800000005</v>
      </c>
      <c r="CL60" s="106"/>
      <c r="CM60" s="106">
        <f t="shared" si="27"/>
        <v>63766.929800000005</v>
      </c>
      <c r="CN60" s="3">
        <f t="shared" si="7"/>
        <v>19.5</v>
      </c>
      <c r="CO60" s="120">
        <f t="shared" si="28"/>
        <v>12434.551311000001</v>
      </c>
      <c r="CP60" s="128"/>
      <c r="CQ60" s="122">
        <f t="shared" si="29"/>
        <v>51332.378489000002</v>
      </c>
      <c r="CR60" s="125">
        <v>2772.25</v>
      </c>
      <c r="CS60" s="123"/>
      <c r="CT60" s="123"/>
      <c r="CU60" s="123">
        <f t="shared" si="31"/>
        <v>54104.628489000002</v>
      </c>
      <c r="CV60" s="96">
        <v>49903.82</v>
      </c>
      <c r="CW60" s="169">
        <f t="shared" si="30"/>
        <v>4200.8084890000027</v>
      </c>
    </row>
    <row r="61" spans="1:101" ht="15" x14ac:dyDescent="0.25">
      <c r="A61" s="35">
        <v>3222</v>
      </c>
      <c r="B61" s="17" t="s">
        <v>96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70">
        <v>40</v>
      </c>
      <c r="BL61" s="170">
        <v>1</v>
      </c>
      <c r="BM61" s="170">
        <f>93+16</f>
        <v>109</v>
      </c>
      <c r="BN61" s="170">
        <v>0</v>
      </c>
      <c r="BO61" s="170">
        <f t="shared" si="25"/>
        <v>150</v>
      </c>
      <c r="BP61" s="15" t="s">
        <v>75</v>
      </c>
      <c r="BQ61" s="15">
        <v>248.42</v>
      </c>
      <c r="BR61" s="19">
        <f t="shared" si="32"/>
        <v>434.73500000000001</v>
      </c>
      <c r="BS61" s="15">
        <f t="shared" si="33"/>
        <v>17389.400000000001</v>
      </c>
      <c r="BT61" s="19">
        <f t="shared" si="34"/>
        <v>496.84</v>
      </c>
      <c r="BU61" s="15">
        <f t="shared" si="40"/>
        <v>496.84</v>
      </c>
      <c r="BV61" s="15">
        <f t="shared" si="35"/>
        <v>27077.78</v>
      </c>
      <c r="BW61" s="37">
        <f t="shared" si="36"/>
        <v>62.104999999999997</v>
      </c>
      <c r="BX61" s="15">
        <f t="shared" si="37"/>
        <v>0</v>
      </c>
      <c r="BY61" s="88">
        <f t="shared" si="10"/>
        <v>44964.020000000004</v>
      </c>
      <c r="BZ61" s="22">
        <v>0.2</v>
      </c>
      <c r="CA61" s="29">
        <f t="shared" si="11"/>
        <v>8992.8040000000019</v>
      </c>
      <c r="CB61" s="24">
        <v>0.13</v>
      </c>
      <c r="CC61" s="30">
        <f t="shared" si="12"/>
        <v>5845.3226000000004</v>
      </c>
      <c r="CD61" s="20">
        <v>0</v>
      </c>
      <c r="CE61" s="3">
        <v>1.2</v>
      </c>
      <c r="CF61" s="3">
        <f t="shared" si="38"/>
        <v>0</v>
      </c>
      <c r="CG61" s="30">
        <f t="shared" si="13"/>
        <v>0</v>
      </c>
      <c r="CH61" s="44"/>
      <c r="CI61" s="36"/>
      <c r="CJ61" s="32">
        <f t="shared" si="39"/>
        <v>0</v>
      </c>
      <c r="CK61" s="29">
        <f t="shared" si="26"/>
        <v>59802.146600000007</v>
      </c>
      <c r="CL61" s="106"/>
      <c r="CM61" s="106">
        <f t="shared" si="27"/>
        <v>59802.146600000007</v>
      </c>
      <c r="CN61" s="3">
        <f t="shared" si="7"/>
        <v>19.5</v>
      </c>
      <c r="CO61" s="120">
        <f t="shared" si="28"/>
        <v>11661.418587000002</v>
      </c>
      <c r="CP61" s="128"/>
      <c r="CQ61" s="122">
        <f t="shared" si="29"/>
        <v>48140.728013000007</v>
      </c>
      <c r="CR61" s="125">
        <v>299.88</v>
      </c>
      <c r="CS61" s="123"/>
      <c r="CT61" s="123"/>
      <c r="CU61" s="123">
        <f t="shared" si="31"/>
        <v>48440.608013000005</v>
      </c>
      <c r="CV61" s="96">
        <v>52987.5</v>
      </c>
      <c r="CW61" s="169">
        <f t="shared" si="30"/>
        <v>-4546.8919869999954</v>
      </c>
    </row>
    <row r="62" spans="1:101" ht="15" x14ac:dyDescent="0.25">
      <c r="A62" s="35">
        <v>3223</v>
      </c>
      <c r="B62" s="17" t="s">
        <v>97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70">
        <v>40</v>
      </c>
      <c r="BL62" s="170">
        <v>11</v>
      </c>
      <c r="BM62" s="170">
        <v>101</v>
      </c>
      <c r="BN62" s="170">
        <v>56</v>
      </c>
      <c r="BO62" s="170">
        <f t="shared" si="25"/>
        <v>152</v>
      </c>
      <c r="BP62" s="15" t="s">
        <v>75</v>
      </c>
      <c r="BQ62" s="15">
        <v>248.42</v>
      </c>
      <c r="BR62" s="19">
        <f t="shared" si="32"/>
        <v>434.73500000000001</v>
      </c>
      <c r="BS62" s="15">
        <f t="shared" si="33"/>
        <v>17389.400000000001</v>
      </c>
      <c r="BT62" s="19">
        <f t="shared" si="34"/>
        <v>496.84</v>
      </c>
      <c r="BU62" s="15">
        <f t="shared" si="40"/>
        <v>5465.24</v>
      </c>
      <c r="BV62" s="15">
        <f t="shared" si="35"/>
        <v>25090.42</v>
      </c>
      <c r="BW62" s="37">
        <f t="shared" si="36"/>
        <v>62.104999999999997</v>
      </c>
      <c r="BX62" s="15">
        <f t="shared" si="37"/>
        <v>3477.8799999999997</v>
      </c>
      <c r="BY62" s="88">
        <f t="shared" si="10"/>
        <v>51422.939999999995</v>
      </c>
      <c r="BZ62" s="22">
        <v>0.2</v>
      </c>
      <c r="CA62" s="29">
        <f t="shared" si="11"/>
        <v>10284.588</v>
      </c>
      <c r="CB62" s="24">
        <v>0.13</v>
      </c>
      <c r="CC62" s="30">
        <f t="shared" si="12"/>
        <v>6684.9821999999995</v>
      </c>
      <c r="CD62" s="20">
        <v>0</v>
      </c>
      <c r="CE62" s="3">
        <v>1.2</v>
      </c>
      <c r="CF62" s="3">
        <f t="shared" si="38"/>
        <v>0</v>
      </c>
      <c r="CG62" s="30">
        <f t="shared" si="13"/>
        <v>0</v>
      </c>
      <c r="CH62" s="44"/>
      <c r="CI62" s="36"/>
      <c r="CJ62" s="32">
        <f t="shared" si="39"/>
        <v>0</v>
      </c>
      <c r="CK62" s="29">
        <f t="shared" si="26"/>
        <v>68392.51019999999</v>
      </c>
      <c r="CL62" s="106"/>
      <c r="CM62" s="106">
        <f t="shared" si="27"/>
        <v>68392.51019999999</v>
      </c>
      <c r="CN62" s="3">
        <f t="shared" si="7"/>
        <v>19.5</v>
      </c>
      <c r="CO62" s="120">
        <f t="shared" si="28"/>
        <v>13336.539488999999</v>
      </c>
      <c r="CP62" s="128"/>
      <c r="CQ62" s="122">
        <f t="shared" si="29"/>
        <v>55055.970710999987</v>
      </c>
      <c r="CR62" s="125">
        <v>2973.35</v>
      </c>
      <c r="CS62" s="123"/>
      <c r="CT62" s="123"/>
      <c r="CU62" s="123">
        <f t="shared" si="31"/>
        <v>58029.320710999986</v>
      </c>
      <c r="CV62" s="96">
        <v>54739.6</v>
      </c>
      <c r="CW62" s="169">
        <f t="shared" si="30"/>
        <v>3289.7207109999872</v>
      </c>
    </row>
    <row r="63" spans="1:101" ht="15" x14ac:dyDescent="0.25">
      <c r="A63" s="35">
        <v>3224</v>
      </c>
      <c r="B63" s="17" t="s">
        <v>98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70">
        <v>32</v>
      </c>
      <c r="BL63" s="170">
        <v>11</v>
      </c>
      <c r="BM63" s="170">
        <v>101</v>
      </c>
      <c r="BN63" s="170">
        <v>48</v>
      </c>
      <c r="BO63" s="170">
        <f t="shared" si="25"/>
        <v>144</v>
      </c>
      <c r="BP63" s="15" t="s">
        <v>75</v>
      </c>
      <c r="BQ63" s="15">
        <v>248.42</v>
      </c>
      <c r="BR63" s="19">
        <f t="shared" si="32"/>
        <v>434.73500000000001</v>
      </c>
      <c r="BS63" s="15">
        <f t="shared" si="33"/>
        <v>13911.52</v>
      </c>
      <c r="BT63" s="19">
        <f t="shared" si="34"/>
        <v>496.84</v>
      </c>
      <c r="BU63" s="15">
        <f t="shared" si="40"/>
        <v>5465.24</v>
      </c>
      <c r="BV63" s="15">
        <f t="shared" si="35"/>
        <v>25090.42</v>
      </c>
      <c r="BW63" s="37">
        <f t="shared" si="36"/>
        <v>62.104999999999997</v>
      </c>
      <c r="BX63" s="15">
        <f t="shared" si="37"/>
        <v>2981.04</v>
      </c>
      <c r="BY63" s="88">
        <f t="shared" si="10"/>
        <v>47448.22</v>
      </c>
      <c r="BZ63" s="22">
        <v>0.2</v>
      </c>
      <c r="CA63" s="29">
        <f t="shared" si="11"/>
        <v>9489.6440000000002</v>
      </c>
      <c r="CB63" s="24">
        <v>0.13</v>
      </c>
      <c r="CC63" s="30">
        <f t="shared" si="12"/>
        <v>6168.2686000000003</v>
      </c>
      <c r="CD63" s="20">
        <v>0</v>
      </c>
      <c r="CE63" s="3">
        <v>1.2</v>
      </c>
      <c r="CF63" s="3">
        <f t="shared" si="38"/>
        <v>0</v>
      </c>
      <c r="CG63" s="30">
        <f t="shared" si="13"/>
        <v>0</v>
      </c>
      <c r="CH63" s="44"/>
      <c r="CI63" s="36"/>
      <c r="CJ63" s="32">
        <f t="shared" si="39"/>
        <v>0</v>
      </c>
      <c r="CK63" s="29">
        <f t="shared" si="26"/>
        <v>63106.132600000004</v>
      </c>
      <c r="CL63" s="106"/>
      <c r="CM63" s="106">
        <f t="shared" si="27"/>
        <v>63106.132600000004</v>
      </c>
      <c r="CN63" s="3">
        <f t="shared" si="7"/>
        <v>19.5</v>
      </c>
      <c r="CO63" s="120">
        <f t="shared" si="28"/>
        <v>12305.695857000001</v>
      </c>
      <c r="CP63" s="128"/>
      <c r="CQ63" s="122">
        <f t="shared" si="29"/>
        <v>50800.436743000006</v>
      </c>
      <c r="CR63" s="125">
        <v>2743.52</v>
      </c>
      <c r="CS63" s="123"/>
      <c r="CT63" s="123"/>
      <c r="CU63" s="123">
        <f t="shared" si="31"/>
        <v>53543.956743000002</v>
      </c>
      <c r="CV63" s="96">
        <v>45571.28</v>
      </c>
      <c r="CW63" s="169">
        <f t="shared" si="30"/>
        <v>7972.6767430000036</v>
      </c>
    </row>
    <row r="64" spans="1:101" ht="15" x14ac:dyDescent="0.25">
      <c r="A64" s="35">
        <v>3225</v>
      </c>
      <c r="B64" s="17" t="s">
        <v>150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70">
        <v>40</v>
      </c>
      <c r="BL64" s="170">
        <v>3</v>
      </c>
      <c r="BM64" s="170">
        <v>107</v>
      </c>
      <c r="BN64" s="170">
        <v>48</v>
      </c>
      <c r="BO64" s="170">
        <f t="shared" si="25"/>
        <v>150</v>
      </c>
      <c r="BP64" s="15" t="s">
        <v>75</v>
      </c>
      <c r="BQ64" s="15">
        <v>248.42</v>
      </c>
      <c r="BR64" s="19">
        <f t="shared" si="32"/>
        <v>434.73500000000001</v>
      </c>
      <c r="BS64" s="15">
        <f t="shared" si="33"/>
        <v>17389.400000000001</v>
      </c>
      <c r="BT64" s="19">
        <f t="shared" si="34"/>
        <v>496.84</v>
      </c>
      <c r="BU64" s="15">
        <f t="shared" si="40"/>
        <v>1490.52</v>
      </c>
      <c r="BV64" s="15">
        <f t="shared" si="35"/>
        <v>26580.94</v>
      </c>
      <c r="BW64" s="37">
        <f t="shared" si="36"/>
        <v>62.104999999999997</v>
      </c>
      <c r="BX64" s="15">
        <f t="shared" si="37"/>
        <v>2981.04</v>
      </c>
      <c r="BY64" s="88">
        <f t="shared" si="10"/>
        <v>48441.9</v>
      </c>
      <c r="BZ64" s="22">
        <v>0.2</v>
      </c>
      <c r="CA64" s="29">
        <f t="shared" si="11"/>
        <v>9688.380000000001</v>
      </c>
      <c r="CB64" s="24">
        <v>0.13</v>
      </c>
      <c r="CC64" s="30">
        <f t="shared" si="12"/>
        <v>6297.4470000000001</v>
      </c>
      <c r="CD64" s="20">
        <v>0</v>
      </c>
      <c r="CE64" s="3">
        <v>1.2</v>
      </c>
      <c r="CF64" s="3">
        <f t="shared" si="38"/>
        <v>0</v>
      </c>
      <c r="CG64" s="30">
        <f t="shared" si="13"/>
        <v>0</v>
      </c>
      <c r="CH64" s="44"/>
      <c r="CI64" s="36"/>
      <c r="CJ64" s="32">
        <f t="shared" si="39"/>
        <v>0</v>
      </c>
      <c r="CK64" s="29">
        <f t="shared" si="26"/>
        <v>64427.726999999999</v>
      </c>
      <c r="CL64" s="106"/>
      <c r="CM64" s="106">
        <f t="shared" si="27"/>
        <v>64427.726999999999</v>
      </c>
      <c r="CN64" s="3">
        <f t="shared" si="7"/>
        <v>19.5</v>
      </c>
      <c r="CO64" s="120">
        <f t="shared" si="28"/>
        <v>12563.406765</v>
      </c>
      <c r="CP64" s="128"/>
      <c r="CQ64" s="122">
        <f t="shared" si="29"/>
        <v>51864.320234999999</v>
      </c>
      <c r="CR64" s="125">
        <v>2800.98</v>
      </c>
      <c r="CS64" s="123"/>
      <c r="CT64" s="123"/>
      <c r="CU64" s="123">
        <f t="shared" si="31"/>
        <v>54665.300235000002</v>
      </c>
      <c r="CV64" s="96">
        <v>52987.5</v>
      </c>
      <c r="CW64" s="169">
        <f t="shared" si="30"/>
        <v>1677.8002350000024</v>
      </c>
    </row>
    <row r="65" spans="1:101" ht="15" x14ac:dyDescent="0.25">
      <c r="A65" s="35"/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36"/>
      <c r="BX65" s="15"/>
      <c r="BY65" s="15"/>
      <c r="BZ65" s="99"/>
      <c r="CA65" s="36"/>
      <c r="CB65" s="99"/>
      <c r="CC65" s="3"/>
      <c r="CD65" s="3"/>
      <c r="CE65" s="3"/>
      <c r="CF65" s="3"/>
      <c r="CG65" s="3"/>
      <c r="CH65" s="44"/>
      <c r="CI65" s="36"/>
      <c r="CJ65" s="36"/>
      <c r="CK65" s="36"/>
      <c r="CL65" s="106"/>
      <c r="CM65" s="106"/>
      <c r="CN65" s="3"/>
      <c r="CO65" s="3"/>
      <c r="CP65" s="31"/>
      <c r="CQ65" s="92"/>
      <c r="CR65" s="96"/>
      <c r="CS65" s="96"/>
      <c r="CT65" s="95"/>
      <c r="CU65" s="95">
        <f>SUBTOTAL(9,CU7:CU64)</f>
        <v>3341278.7416682504</v>
      </c>
      <c r="CV65" s="96"/>
      <c r="CW65" s="169"/>
    </row>
    <row r="66" spans="1:101" ht="15" x14ac:dyDescent="0.25">
      <c r="A66" s="35"/>
      <c r="B66" s="1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36"/>
      <c r="BX66" s="15"/>
      <c r="BY66" s="15"/>
      <c r="BZ66" s="99"/>
      <c r="CA66" s="36"/>
      <c r="CB66" s="99"/>
      <c r="CC66" s="3"/>
      <c r="CD66" s="3"/>
      <c r="CE66" s="3"/>
      <c r="CF66" s="3"/>
      <c r="CG66" s="3"/>
      <c r="CH66" s="44"/>
      <c r="CI66" s="36"/>
      <c r="CJ66" s="36"/>
      <c r="CK66" s="36"/>
      <c r="CL66" s="96"/>
      <c r="CM66" s="96"/>
      <c r="CN66" s="3"/>
      <c r="CO66" s="3"/>
      <c r="CP66" s="31"/>
      <c r="CQ66" s="92"/>
      <c r="CR66" s="96"/>
      <c r="CS66" s="96"/>
      <c r="CT66" s="95"/>
      <c r="CU66" s="95"/>
      <c r="CV66" s="96"/>
      <c r="CW66" s="169"/>
    </row>
    <row r="67" spans="1:101" ht="15" x14ac:dyDescent="0.25">
      <c r="A67" s="35"/>
      <c r="B67" s="1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36"/>
      <c r="BX67" s="15"/>
      <c r="BY67" s="15"/>
      <c r="BZ67" s="99"/>
      <c r="CA67" s="36"/>
      <c r="CB67" s="99"/>
      <c r="CC67" s="3"/>
      <c r="CD67" s="3"/>
      <c r="CE67" s="3"/>
      <c r="CF67" s="3"/>
      <c r="CG67" s="3"/>
      <c r="CH67" s="44"/>
      <c r="CI67" s="36"/>
      <c r="CJ67" s="36"/>
      <c r="CK67" s="36"/>
      <c r="CL67" s="96"/>
      <c r="CM67" s="96"/>
      <c r="CN67" s="3"/>
      <c r="CO67" s="3"/>
      <c r="CP67" s="31"/>
      <c r="CQ67" s="92">
        <f t="shared" ref="CQ67" si="41">CK67-CO67</f>
        <v>0</v>
      </c>
      <c r="CR67" s="96"/>
      <c r="CS67" s="96"/>
      <c r="CT67" s="96"/>
      <c r="CU67" s="96"/>
      <c r="CV67" s="96"/>
      <c r="CW67" s="169"/>
    </row>
    <row r="68" spans="1:101" ht="15" x14ac:dyDescent="0.25">
      <c r="A68" s="35"/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9"/>
      <c r="BL68" s="19"/>
      <c r="BM68" s="19"/>
      <c r="BN68" s="19"/>
      <c r="BO68" s="19"/>
      <c r="BP68" s="19"/>
      <c r="BQ68" s="19"/>
      <c r="BR68" s="19"/>
      <c r="BS68" s="15"/>
      <c r="BT68" s="19"/>
      <c r="BU68" s="15"/>
      <c r="BV68" s="15"/>
      <c r="BW68" s="37"/>
      <c r="BX68" s="15"/>
      <c r="BY68" s="15"/>
      <c r="BZ68" s="22"/>
      <c r="CA68" s="29"/>
      <c r="CB68" s="24"/>
      <c r="CC68" s="30"/>
      <c r="CD68" s="20"/>
      <c r="CE68" s="3"/>
      <c r="CF68" s="3"/>
      <c r="CG68" s="3"/>
      <c r="CH68" s="42"/>
      <c r="CI68" s="33"/>
      <c r="CJ68" s="32"/>
      <c r="CK68" s="29"/>
      <c r="CL68" s="96"/>
      <c r="CM68" s="96"/>
      <c r="CN68" s="3"/>
      <c r="CO68" s="30"/>
      <c r="CP68" s="31"/>
      <c r="CQ68" s="92">
        <f t="shared" si="16"/>
        <v>0</v>
      </c>
      <c r="CR68" s="96"/>
      <c r="CS68" s="96"/>
      <c r="CT68" s="96"/>
      <c r="CU68" s="96"/>
      <c r="CV68" s="96"/>
      <c r="CW68" s="169"/>
    </row>
    <row r="69" spans="1:101" ht="13.5" thickBo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f>SUBTOTAL(9,BK7:BK68)</f>
        <v>1971</v>
      </c>
      <c r="BL69" s="6">
        <f>SUBTOTAL(9,BL7:BL68)</f>
        <v>387</v>
      </c>
      <c r="BM69" s="6">
        <f>SUBTOTAL(9,BM7:BM68)</f>
        <v>5531</v>
      </c>
      <c r="BN69" s="6">
        <f>SUBTOTAL(9,BN7:BN68)</f>
        <v>1980</v>
      </c>
      <c r="BO69" s="6">
        <f>SUBTOTAL(9,BO7:BO68)</f>
        <v>7889</v>
      </c>
      <c r="BP69" s="6"/>
      <c r="BQ69" s="38"/>
      <c r="BR69" s="6">
        <f t="shared" si="9"/>
        <v>0</v>
      </c>
      <c r="BS69" s="15"/>
      <c r="BT69" s="6">
        <f t="shared" si="24"/>
        <v>0</v>
      </c>
      <c r="BU69" s="15"/>
      <c r="BV69" s="15"/>
      <c r="BW69" s="39">
        <f t="shared" si="4"/>
        <v>0</v>
      </c>
      <c r="BX69" s="15"/>
      <c r="BY69" s="15"/>
      <c r="BZ69" s="23"/>
      <c r="CA69" s="29">
        <f t="shared" si="11"/>
        <v>0</v>
      </c>
      <c r="CB69" s="25"/>
      <c r="CC69" s="30">
        <f t="shared" ref="CC69" si="42">BY69*CB69</f>
        <v>0</v>
      </c>
      <c r="CD69" s="6"/>
      <c r="CE69" s="3"/>
      <c r="CF69" s="3">
        <f t="shared" si="0"/>
        <v>0</v>
      </c>
      <c r="CG69" s="3"/>
      <c r="CH69" s="43"/>
      <c r="CI69" s="34"/>
      <c r="CJ69" s="32"/>
      <c r="CK69" s="29">
        <f t="shared" ref="CK69" si="43">BY69+CA69+CC69+CG69+CJ69</f>
        <v>0</v>
      </c>
      <c r="CL69" s="96"/>
      <c r="CM69" s="96"/>
      <c r="CN69" s="3"/>
      <c r="CO69" s="30" t="e">
        <f>(CK69+#REF!)*CN69%</f>
        <v>#REF!</v>
      </c>
      <c r="CP69" s="26"/>
      <c r="CQ69" s="93">
        <f>SUM(CQ7:CQ68)</f>
        <v>3190950.7174898498</v>
      </c>
      <c r="CR69" s="96"/>
      <c r="CS69" s="96"/>
      <c r="CT69" s="96"/>
      <c r="CU69" s="96"/>
      <c r="CV69" s="96"/>
      <c r="CW69" s="169">
        <f>SUBTOTAL(9,CW7:CW68)</f>
        <v>148631.91166825002</v>
      </c>
    </row>
    <row r="70" spans="1:101" x14ac:dyDescent="0.2">
      <c r="CQ70" s="7"/>
    </row>
    <row r="71" spans="1:101" ht="13.5" thickBot="1" x14ac:dyDescent="0.25">
      <c r="CH71" s="27"/>
      <c r="CI71" s="2"/>
      <c r="CJ71" s="2"/>
      <c r="CK71" s="2"/>
      <c r="CL71" s="2"/>
      <c r="CM71" s="2"/>
      <c r="CQ71" s="8"/>
    </row>
    <row r="72" spans="1:101" ht="13.5" thickBot="1" x14ac:dyDescent="0.25">
      <c r="CH72" s="27"/>
      <c r="CI72" s="2"/>
      <c r="CJ72" s="2"/>
      <c r="CK72" s="2"/>
      <c r="CL72" s="2"/>
      <c r="CM72" s="2"/>
      <c r="CQ72" s="16"/>
    </row>
    <row r="73" spans="1:101" x14ac:dyDescent="0.2">
      <c r="CH73" s="27"/>
      <c r="CI73" s="2"/>
      <c r="CJ73" s="2"/>
      <c r="CK73" s="2"/>
      <c r="CL73" s="2"/>
      <c r="CM73" s="2"/>
      <c r="CQ73" s="7"/>
    </row>
    <row r="74" spans="1:101" x14ac:dyDescent="0.2">
      <c r="BQ74" s="2"/>
      <c r="CH74" s="27"/>
      <c r="CI74" s="2"/>
      <c r="CJ74" s="2"/>
      <c r="CK74" s="2"/>
      <c r="CL74" s="2"/>
      <c r="CM74" s="2"/>
      <c r="CO74" s="21"/>
      <c r="CQ74" s="7"/>
    </row>
    <row r="75" spans="1:101" x14ac:dyDescent="0.2">
      <c r="BQ75" s="2"/>
      <c r="CH75" s="27"/>
      <c r="CI75" s="2"/>
      <c r="CJ75" s="2"/>
      <c r="CK75" s="2"/>
      <c r="CL75" s="2"/>
      <c r="CM75" s="2"/>
      <c r="CQ75" s="7"/>
    </row>
    <row r="76" spans="1:101" x14ac:dyDescent="0.2">
      <c r="BQ76" s="2"/>
      <c r="CH76" s="27"/>
      <c r="CI76" s="2"/>
      <c r="CJ76" s="2"/>
      <c r="CK76" s="2"/>
      <c r="CL76" s="2"/>
      <c r="CM76" s="2"/>
      <c r="CQ76" s="7"/>
    </row>
    <row r="77" spans="1:101" x14ac:dyDescent="0.2">
      <c r="BQ77" s="2"/>
      <c r="CH77" s="27"/>
      <c r="CI77" s="2"/>
      <c r="CJ77" s="2"/>
      <c r="CK77" s="2"/>
      <c r="CL77" s="2"/>
      <c r="CM77" s="2"/>
      <c r="CQ77" s="7"/>
    </row>
    <row r="78" spans="1:101" x14ac:dyDescent="0.2">
      <c r="BQ78" s="2"/>
      <c r="CH78" s="27"/>
      <c r="CI78" s="2"/>
      <c r="CJ78" s="2"/>
      <c r="CK78" s="2"/>
      <c r="CL78" s="2"/>
      <c r="CM78" s="2"/>
      <c r="CQ78" s="9"/>
    </row>
    <row r="80" spans="1:101" ht="18.75" customHeight="1" x14ac:dyDescent="0.2"/>
    <row r="81" spans="69:96" ht="19.5" customHeight="1" x14ac:dyDescent="0.2"/>
    <row r="82" spans="69:96" ht="15" customHeight="1" x14ac:dyDescent="0.2">
      <c r="BQ82" s="2"/>
      <c r="CH82" s="2"/>
      <c r="CI82" s="2"/>
      <c r="CJ82" s="2"/>
      <c r="CK82" s="2"/>
      <c r="CL82" s="2"/>
      <c r="CM82" s="2"/>
      <c r="CQ82" s="2"/>
    </row>
    <row r="83" spans="69:96" ht="10.5" customHeight="1" x14ac:dyDescent="0.2">
      <c r="BQ83" s="2"/>
      <c r="CH83" s="2"/>
      <c r="CI83" s="2"/>
      <c r="CJ83" s="2"/>
      <c r="CK83" s="2"/>
      <c r="CL83" s="2"/>
      <c r="CM83" s="2"/>
      <c r="CQ83" s="2"/>
    </row>
    <row r="84" spans="69:96" ht="18.75" customHeight="1" x14ac:dyDescent="0.2">
      <c r="BQ84" s="2"/>
      <c r="CH84" s="2"/>
      <c r="CI84" s="2"/>
      <c r="CJ84" s="2"/>
      <c r="CK84" s="2"/>
      <c r="CL84" s="2"/>
      <c r="CM84" s="2"/>
      <c r="CQ84" s="2"/>
    </row>
    <row r="85" spans="69:96" ht="13.5" customHeight="1" x14ac:dyDescent="0.2">
      <c r="BQ85" s="2"/>
      <c r="CH85" s="2"/>
      <c r="CI85" s="2"/>
      <c r="CJ85" s="2"/>
      <c r="CK85" s="2"/>
      <c r="CL85" s="2"/>
      <c r="CM85" s="2"/>
      <c r="CQ85" s="2"/>
    </row>
    <row r="86" spans="69:96" x14ac:dyDescent="0.2">
      <c r="BQ86" s="2"/>
      <c r="CH86" s="2"/>
      <c r="CI86" s="2"/>
      <c r="CJ86" s="2"/>
      <c r="CK86" s="2"/>
      <c r="CL86" s="2"/>
      <c r="CM86" s="2"/>
      <c r="CQ86" s="2"/>
    </row>
    <row r="87" spans="69:96" x14ac:dyDescent="0.2">
      <c r="BQ87" s="2"/>
      <c r="CH87" s="2"/>
      <c r="CI87" s="2"/>
      <c r="CJ87" s="2"/>
      <c r="CK87" s="2"/>
      <c r="CL87" s="2"/>
      <c r="CM87" s="2"/>
      <c r="CQ87" s="2"/>
    </row>
    <row r="88" spans="69:96" x14ac:dyDescent="0.2">
      <c r="BQ88" s="2"/>
      <c r="CH88" s="2"/>
      <c r="CI88" s="2"/>
      <c r="CJ88" s="2"/>
      <c r="CK88" s="2"/>
      <c r="CL88" s="2"/>
      <c r="CM88" s="2"/>
      <c r="CQ88" s="2"/>
    </row>
    <row r="89" spans="69:96" x14ac:dyDescent="0.2">
      <c r="BQ89" s="2"/>
      <c r="CH89" s="2"/>
      <c r="CI89" s="2"/>
      <c r="CJ89" s="2"/>
      <c r="CK89" s="2"/>
      <c r="CL89" s="2"/>
      <c r="CM89" s="2"/>
      <c r="CQ89" s="2"/>
    </row>
    <row r="90" spans="69:96" x14ac:dyDescent="0.2">
      <c r="CQ90" s="4">
        <f>+CQ7+CQ8+CQ10+CQ11+CQ14+CQ16+CQ18+CQ19+CQ22+CQ21+CQ24+CQ26+CQ27+CQ29+CQ32+CQ42+CQ44+CQ48+CQ50</f>
        <v>1189687.1699118</v>
      </c>
    </row>
    <row r="91" spans="69:96" x14ac:dyDescent="0.2">
      <c r="CQ91" s="4" t="e">
        <f>CQ7+CQ8+CQ10+CQ11+CQ14+CQ16+CQ18+CQ19+CQ21+CQ22+CQ24+CQ26+CQ27+CQ29+CQ32+CQ42+CQ44+CQ48+CQ50+CQ23+CQ25+CQ37+#REF!+CQ43</f>
        <v>#REF!</v>
      </c>
      <c r="CR91" s="2" t="e">
        <f>+#REF!-CQ91</f>
        <v>#REF!</v>
      </c>
    </row>
  </sheetData>
  <autoFilter ref="A1:CR90">
    <filterColumn colId="1">
      <colorFilter dxfId="0"/>
    </filterColumn>
    <filterColumn colId="4" showButton="0"/>
    <filterColumn colId="5" showButton="0"/>
    <filterColumn colId="8" showButton="0"/>
    <filterColumn colId="9" showButton="0"/>
  </autoFilter>
  <sortState ref="A7:CW27">
    <sortCondition ref="A7"/>
  </sortState>
  <mergeCells count="33">
    <mergeCell ref="E1:G1"/>
    <mergeCell ref="I1:K1"/>
    <mergeCell ref="E2:G2"/>
    <mergeCell ref="I2:K2"/>
    <mergeCell ref="BG5:BJ5"/>
    <mergeCell ref="AY5:BB5"/>
    <mergeCell ref="BC5:BF5"/>
    <mergeCell ref="BK5:BO5"/>
    <mergeCell ref="BS5:BY5"/>
    <mergeCell ref="CQ5:CQ6"/>
    <mergeCell ref="CG5:CG6"/>
    <mergeCell ref="BZ5:BZ6"/>
    <mergeCell ref="CD5:CD6"/>
    <mergeCell ref="CN5:CN6"/>
    <mergeCell ref="CO5:CO6"/>
    <mergeCell ref="CK5:CK6"/>
    <mergeCell ref="CC5:CC6"/>
    <mergeCell ref="CW5:CW6"/>
    <mergeCell ref="CV5:CV6"/>
    <mergeCell ref="A3:B4"/>
    <mergeCell ref="C3:BO4"/>
    <mergeCell ref="AU5:AX5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</mergeCells>
  <pageMargins left="0" right="0" top="0" bottom="0" header="0.31496062992125984" footer="0.31496062992125984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Q1:CZ1"/>
  <sheetViews>
    <sheetView topLeftCell="A10" workbookViewId="0">
      <selection activeCell="A10" sqref="A1:XFD1048576"/>
    </sheetView>
  </sheetViews>
  <sheetFormatPr baseColWidth="10" defaultRowHeight="12.75" x14ac:dyDescent="0.2"/>
  <cols>
    <col min="1" max="68" width="11.42578125" style="2"/>
    <col min="69" max="69" width="11.42578125" style="28"/>
    <col min="70" max="70" width="11.42578125" style="27"/>
    <col min="71" max="71" width="11.42578125" style="2"/>
    <col min="72" max="72" width="11.42578125" style="27"/>
    <col min="73" max="74" width="11.42578125" style="2"/>
    <col min="75" max="75" width="11.42578125" style="27"/>
    <col min="76" max="85" width="11.42578125" style="2"/>
    <col min="86" max="90" width="11.42578125" style="1"/>
    <col min="91" max="93" width="11.42578125" style="2"/>
    <col min="94" max="95" width="11.42578125" style="4"/>
    <col min="96" max="96" width="11.42578125" style="7"/>
    <col min="97" max="97" width="11.42578125" style="2"/>
    <col min="98" max="104" width="11.42578125" style="1"/>
    <col min="105" max="16384" width="11.425781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workbookViewId="0">
      <selection activeCell="A2" sqref="A1:E57"/>
    </sheetView>
  </sheetViews>
  <sheetFormatPr baseColWidth="10" defaultRowHeight="15" x14ac:dyDescent="0.25"/>
  <cols>
    <col min="2" max="2" width="30.5703125" customWidth="1"/>
    <col min="3" max="4" width="11.42578125" hidden="1" customWidth="1"/>
    <col min="5" max="5" width="12" style="102" bestFit="1" customWidth="1"/>
  </cols>
  <sheetData>
    <row r="1" spans="1:5" x14ac:dyDescent="0.25">
      <c r="A1" s="62" t="s">
        <v>1</v>
      </c>
      <c r="B1" s="62" t="s">
        <v>2</v>
      </c>
      <c r="C1" s="203" t="s">
        <v>25</v>
      </c>
      <c r="D1" s="105"/>
      <c r="E1" s="106"/>
    </row>
    <row r="2" spans="1:5" x14ac:dyDescent="0.25">
      <c r="A2" s="62"/>
      <c r="B2" s="62"/>
      <c r="C2" s="203"/>
      <c r="D2" s="105"/>
      <c r="E2" s="106"/>
    </row>
    <row r="3" spans="1:5" x14ac:dyDescent="0.25">
      <c r="A3" s="107">
        <v>1864</v>
      </c>
      <c r="B3" s="49" t="s">
        <v>5</v>
      </c>
      <c r="C3" s="36">
        <v>35764.033719999999</v>
      </c>
      <c r="D3" s="106">
        <f>+[1]Hoja1!C3</f>
        <v>37408.574120000005</v>
      </c>
      <c r="E3" s="106">
        <f>+C3+D3</f>
        <v>73172.607840000011</v>
      </c>
    </row>
    <row r="4" spans="1:5" x14ac:dyDescent="0.25">
      <c r="A4" s="107">
        <v>3101</v>
      </c>
      <c r="B4" s="49" t="s">
        <v>9</v>
      </c>
      <c r="C4" s="36">
        <v>88854.454700000017</v>
      </c>
      <c r="D4" s="106">
        <f>+[1]Hoja1!C4</f>
        <v>100296.52980000002</v>
      </c>
      <c r="E4" s="106">
        <f t="shared" ref="E4:E57" si="0">+C4+D4</f>
        <v>189150.98450000002</v>
      </c>
    </row>
    <row r="5" spans="1:5" x14ac:dyDescent="0.25">
      <c r="A5" s="107">
        <v>3104</v>
      </c>
      <c r="B5" s="49" t="s">
        <v>39</v>
      </c>
      <c r="C5" s="36">
        <v>90451.533200000005</v>
      </c>
      <c r="D5" s="106">
        <f>+[1]Hoja1!C5</f>
        <v>93858.63400000002</v>
      </c>
      <c r="E5" s="106">
        <f t="shared" si="0"/>
        <v>184310.16720000003</v>
      </c>
    </row>
    <row r="6" spans="1:5" x14ac:dyDescent="0.25">
      <c r="A6" s="107">
        <v>3106</v>
      </c>
      <c r="B6" s="49" t="s">
        <v>40</v>
      </c>
      <c r="C6" s="36">
        <v>70648.736179999993</v>
      </c>
      <c r="D6" s="106">
        <f>+[1]Hoja1!C6</f>
        <v>83513.497199999998</v>
      </c>
      <c r="E6" s="106">
        <f t="shared" si="0"/>
        <v>154162.23337999999</v>
      </c>
    </row>
    <row r="7" spans="1:5" x14ac:dyDescent="0.25">
      <c r="A7" s="107">
        <v>3108</v>
      </c>
      <c r="B7" s="49" t="s">
        <v>49</v>
      </c>
      <c r="C7" s="36">
        <v>55529.94571</v>
      </c>
      <c r="D7" s="106">
        <f>+[1]Hoja1!C7</f>
        <v>78741.297359999997</v>
      </c>
      <c r="E7" s="106">
        <f t="shared" si="0"/>
        <v>134271.24307</v>
      </c>
    </row>
    <row r="8" spans="1:5" x14ac:dyDescent="0.25">
      <c r="A8" s="107">
        <v>3109</v>
      </c>
      <c r="B8" s="49" t="s">
        <v>50</v>
      </c>
      <c r="C8" s="36">
        <v>79888.049060000019</v>
      </c>
      <c r="D8" s="106">
        <f>+[1]Hoja1!C8</f>
        <v>83513.497199999998</v>
      </c>
      <c r="E8" s="106">
        <f t="shared" si="0"/>
        <v>163401.54626000003</v>
      </c>
    </row>
    <row r="9" spans="1:5" x14ac:dyDescent="0.25">
      <c r="A9" s="107">
        <v>3113</v>
      </c>
      <c r="B9" s="49" t="s">
        <v>35</v>
      </c>
      <c r="C9" s="36">
        <v>85340.882000000012</v>
      </c>
      <c r="D9" s="106">
        <f>+[1]Hoja1!C9</f>
        <v>73806.9516</v>
      </c>
      <c r="E9" s="106">
        <f t="shared" si="0"/>
        <v>159147.83360000001</v>
      </c>
    </row>
    <row r="10" spans="1:5" x14ac:dyDescent="0.25">
      <c r="A10" s="107">
        <v>3115</v>
      </c>
      <c r="B10" s="49" t="s">
        <v>51</v>
      </c>
      <c r="C10" s="36">
        <v>83069.51562000002</v>
      </c>
      <c r="D10" s="106">
        <f>+[1]Hoja1!C10</f>
        <v>94250.94683999999</v>
      </c>
      <c r="E10" s="106">
        <f t="shared" si="0"/>
        <v>177320.46246000001</v>
      </c>
    </row>
    <row r="11" spans="1:5" x14ac:dyDescent="0.25">
      <c r="A11" s="107">
        <v>3117</v>
      </c>
      <c r="B11" s="49" t="s">
        <v>46</v>
      </c>
      <c r="C11" s="36">
        <v>78993.261590000009</v>
      </c>
      <c r="D11" s="106">
        <f>+[1]Hoja1!C11</f>
        <v>64299.451680000006</v>
      </c>
      <c r="E11" s="106">
        <f t="shared" si="0"/>
        <v>143292.71327000001</v>
      </c>
    </row>
    <row r="12" spans="1:5" x14ac:dyDescent="0.25">
      <c r="A12" s="107">
        <v>3120</v>
      </c>
      <c r="B12" s="49" t="s">
        <v>52</v>
      </c>
      <c r="C12" s="36">
        <v>81279.94068</v>
      </c>
      <c r="D12" s="106">
        <f>+[1]Hoja1!C12</f>
        <v>89478.746999999988</v>
      </c>
      <c r="E12" s="106">
        <f t="shared" si="0"/>
        <v>170758.68767999997</v>
      </c>
    </row>
    <row r="13" spans="1:5" x14ac:dyDescent="0.25">
      <c r="A13" s="107">
        <v>3121</v>
      </c>
      <c r="B13" s="49" t="s">
        <v>41</v>
      </c>
      <c r="C13" s="36">
        <v>83069.51562000002</v>
      </c>
      <c r="D13" s="106">
        <f>+[1]Hoja1!C13</f>
        <v>99619.671659999993</v>
      </c>
      <c r="E13" s="106">
        <f t="shared" si="0"/>
        <v>182689.18728000001</v>
      </c>
    </row>
    <row r="14" spans="1:5" x14ac:dyDescent="0.25">
      <c r="A14" s="107">
        <v>3123</v>
      </c>
      <c r="B14" s="49" t="s">
        <v>10</v>
      </c>
      <c r="C14" s="36">
        <v>83402.892800000031</v>
      </c>
      <c r="D14" s="106">
        <f>+[1]Hoja1!C14</f>
        <v>72085.345400000006</v>
      </c>
      <c r="E14" s="106">
        <f t="shared" si="0"/>
        <v>155488.23820000002</v>
      </c>
    </row>
    <row r="15" spans="1:5" x14ac:dyDescent="0.25">
      <c r="A15" s="107">
        <v>3124</v>
      </c>
      <c r="B15" s="49" t="s">
        <v>53</v>
      </c>
      <c r="C15" s="36">
        <v>63504.101439999991</v>
      </c>
      <c r="D15" s="106">
        <f>+[1]Hoja1!C15</f>
        <v>46657.250719999996</v>
      </c>
      <c r="E15" s="106">
        <f t="shared" si="0"/>
        <v>110161.35215999998</v>
      </c>
    </row>
    <row r="16" spans="1:5" x14ac:dyDescent="0.25">
      <c r="A16" s="107">
        <v>3126</v>
      </c>
      <c r="B16" s="49" t="s">
        <v>33</v>
      </c>
      <c r="C16" s="36">
        <v>80246.392240000001</v>
      </c>
      <c r="D16" s="106">
        <f>+[1]Hoja1!C16</f>
        <v>98815.20594</v>
      </c>
      <c r="E16" s="106">
        <f t="shared" si="0"/>
        <v>179061.59818</v>
      </c>
    </row>
    <row r="17" spans="1:5" x14ac:dyDescent="0.25">
      <c r="A17" s="107">
        <v>3128</v>
      </c>
      <c r="B17" s="49" t="s">
        <v>47</v>
      </c>
      <c r="C17" s="36">
        <v>82415.987580000015</v>
      </c>
      <c r="D17" s="106">
        <f>+[1]Hoja1!C17</f>
        <v>99604.149699999994</v>
      </c>
      <c r="E17" s="106">
        <f t="shared" si="0"/>
        <v>182020.13728000002</v>
      </c>
    </row>
    <row r="18" spans="1:5" x14ac:dyDescent="0.25">
      <c r="A18" s="107">
        <v>3129</v>
      </c>
      <c r="B18" s="49" t="s">
        <v>55</v>
      </c>
      <c r="C18" s="36">
        <v>80640.864119999998</v>
      </c>
      <c r="D18" s="106">
        <f>+[1]Hoja1!C18</f>
        <v>95067.723080000011</v>
      </c>
      <c r="E18" s="106">
        <f t="shared" si="0"/>
        <v>175708.58720000001</v>
      </c>
    </row>
    <row r="19" spans="1:5" x14ac:dyDescent="0.25">
      <c r="A19" s="107">
        <v>3137</v>
      </c>
      <c r="B19" s="49" t="s">
        <v>42</v>
      </c>
      <c r="C19" s="36">
        <v>79062.976600000009</v>
      </c>
      <c r="D19" s="106">
        <f>+[1]Hoja1!C19</f>
        <v>79626.049079999997</v>
      </c>
      <c r="E19" s="106">
        <f t="shared" si="0"/>
        <v>158689.02568000002</v>
      </c>
    </row>
    <row r="20" spans="1:5" x14ac:dyDescent="0.25">
      <c r="A20" s="107">
        <v>3142</v>
      </c>
      <c r="B20" s="49" t="s">
        <v>54</v>
      </c>
      <c r="C20" s="36">
        <v>74329.314040000012</v>
      </c>
      <c r="D20" s="106">
        <f>+[1]Hoja1!C20</f>
        <v>63115.500799999994</v>
      </c>
      <c r="E20" s="106">
        <f t="shared" si="0"/>
        <v>137444.81484000001</v>
      </c>
    </row>
    <row r="21" spans="1:5" x14ac:dyDescent="0.25">
      <c r="A21" s="107">
        <v>3148</v>
      </c>
      <c r="B21" s="49" t="s">
        <v>56</v>
      </c>
      <c r="C21" s="36">
        <v>89739.618800000011</v>
      </c>
      <c r="D21" s="106">
        <f>+[1]Hoja1!C21</f>
        <v>94311.60530000001</v>
      </c>
      <c r="E21" s="106">
        <f t="shared" si="0"/>
        <v>184051.22410000002</v>
      </c>
    </row>
    <row r="22" spans="1:5" x14ac:dyDescent="0.25">
      <c r="A22" s="107">
        <v>3149</v>
      </c>
      <c r="B22" s="49" t="s">
        <v>43</v>
      </c>
      <c r="C22" s="36">
        <v>86163.470440000019</v>
      </c>
      <c r="D22" s="106">
        <f>+[1]Hoja1!C22</f>
        <v>65704.99192</v>
      </c>
      <c r="E22" s="106">
        <f t="shared" si="0"/>
        <v>151868.46236</v>
      </c>
    </row>
    <row r="23" spans="1:5" x14ac:dyDescent="0.25">
      <c r="A23" s="107">
        <v>3152</v>
      </c>
      <c r="B23" s="49" t="s">
        <v>34</v>
      </c>
      <c r="C23" s="36">
        <v>45441.340759999999</v>
      </c>
      <c r="D23" s="106">
        <f>+[1]Hoja1!C23</f>
        <v>91911.948040000003</v>
      </c>
      <c r="E23" s="106">
        <f t="shared" si="0"/>
        <v>137353.28880000001</v>
      </c>
    </row>
    <row r="24" spans="1:5" x14ac:dyDescent="0.25">
      <c r="A24" s="107">
        <v>3154</v>
      </c>
      <c r="B24" s="49" t="s">
        <v>36</v>
      </c>
      <c r="C24" s="36">
        <v>73264.131200000018</v>
      </c>
      <c r="D24" s="106">
        <f>+[1]Hoja1!C24</f>
        <v>93361.096400000009</v>
      </c>
      <c r="E24" s="106">
        <f t="shared" si="0"/>
        <v>166625.22760000004</v>
      </c>
    </row>
    <row r="25" spans="1:5" x14ac:dyDescent="0.25">
      <c r="A25" s="107">
        <v>3162</v>
      </c>
      <c r="B25" s="49" t="s">
        <v>57</v>
      </c>
      <c r="C25" s="36">
        <v>78632.376020000011</v>
      </c>
      <c r="D25" s="106">
        <f>+[1]Hoja1!C25</f>
        <v>92728.724279999995</v>
      </c>
      <c r="E25" s="106">
        <f t="shared" si="0"/>
        <v>171361.10029999999</v>
      </c>
    </row>
    <row r="26" spans="1:5" x14ac:dyDescent="0.25">
      <c r="A26" s="107">
        <v>3165</v>
      </c>
      <c r="B26" s="49" t="s">
        <v>58</v>
      </c>
      <c r="C26" s="36">
        <v>73741.620520000011</v>
      </c>
      <c r="D26" s="106">
        <f>+[1]Hoja1!C26</f>
        <v>91163.682520000002</v>
      </c>
      <c r="E26" s="106">
        <f t="shared" si="0"/>
        <v>164905.30304000003</v>
      </c>
    </row>
    <row r="27" spans="1:5" x14ac:dyDescent="0.25">
      <c r="A27" s="107">
        <v>3167</v>
      </c>
      <c r="B27" s="49" t="s">
        <v>44</v>
      </c>
      <c r="C27" s="36">
        <v>66405.487270000012</v>
      </c>
      <c r="D27" s="106">
        <f>+[1]Hoja1!C27</f>
        <v>77469.567119999992</v>
      </c>
      <c r="E27" s="106">
        <f t="shared" si="0"/>
        <v>143875.05439</v>
      </c>
    </row>
    <row r="28" spans="1:5" x14ac:dyDescent="0.25">
      <c r="A28" s="107">
        <v>3168</v>
      </c>
      <c r="B28" s="49" t="s">
        <v>59</v>
      </c>
      <c r="C28" s="36">
        <v>39608.084800000004</v>
      </c>
      <c r="D28" s="106">
        <f>+[1]Hoja1!C28</f>
        <v>29810.399999999998</v>
      </c>
      <c r="E28" s="106">
        <f t="shared" si="0"/>
        <v>69418.484800000006</v>
      </c>
    </row>
    <row r="29" spans="1:5" x14ac:dyDescent="0.25">
      <c r="A29" s="107">
        <v>3170</v>
      </c>
      <c r="B29" s="49" t="s">
        <v>60</v>
      </c>
      <c r="C29" s="36">
        <v>72408.219499999992</v>
      </c>
      <c r="D29" s="106">
        <f>+[1]Hoja1!C29</f>
        <v>63409.204999999994</v>
      </c>
      <c r="E29" s="106">
        <f t="shared" si="0"/>
        <v>135817.42449999999</v>
      </c>
    </row>
    <row r="30" spans="1:5" x14ac:dyDescent="0.25">
      <c r="A30" s="107">
        <v>3171</v>
      </c>
      <c r="B30" s="49" t="s">
        <v>61</v>
      </c>
      <c r="C30" s="36">
        <v>73153.927000000011</v>
      </c>
      <c r="D30" s="106">
        <f>+[1]Hoja1!C30</f>
        <v>35794.175000000003</v>
      </c>
      <c r="E30" s="106">
        <f t="shared" si="0"/>
        <v>108948.10200000001</v>
      </c>
    </row>
    <row r="31" spans="1:5" x14ac:dyDescent="0.25">
      <c r="A31" s="107">
        <v>3172</v>
      </c>
      <c r="B31" s="49" t="s">
        <v>62</v>
      </c>
      <c r="C31" s="36">
        <v>70049.535000000003</v>
      </c>
      <c r="D31" s="106">
        <f>+[1]Hoja1!C31</f>
        <v>85758.828999999998</v>
      </c>
      <c r="E31" s="106">
        <f t="shared" si="0"/>
        <v>155808.364</v>
      </c>
    </row>
    <row r="32" spans="1:5" x14ac:dyDescent="0.25">
      <c r="A32" s="107">
        <v>3175</v>
      </c>
      <c r="B32" s="49" t="s">
        <v>63</v>
      </c>
      <c r="C32" s="36">
        <v>73153.927000000011</v>
      </c>
      <c r="D32" s="106">
        <f>+[1]Hoja1!C32</f>
        <v>86437.914750000011</v>
      </c>
      <c r="E32" s="106">
        <f t="shared" si="0"/>
        <v>159591.84175000002</v>
      </c>
    </row>
    <row r="33" spans="1:5" x14ac:dyDescent="0.25">
      <c r="A33" s="107">
        <v>3179</v>
      </c>
      <c r="B33" s="49" t="s">
        <v>64</v>
      </c>
      <c r="C33" s="36">
        <v>72408.219499999992</v>
      </c>
      <c r="D33" s="106">
        <f>+[1]Hoja1!C33</f>
        <v>67383.924999999988</v>
      </c>
      <c r="E33" s="106">
        <f t="shared" si="0"/>
        <v>139792.14449999999</v>
      </c>
    </row>
    <row r="34" spans="1:5" x14ac:dyDescent="0.25">
      <c r="A34" s="107">
        <v>3189</v>
      </c>
      <c r="B34" s="49" t="s">
        <v>37</v>
      </c>
      <c r="C34" s="36">
        <v>48683.595600000001</v>
      </c>
      <c r="D34" s="106">
        <f>+[1]Hoja1!C34</f>
        <v>32099.200000000004</v>
      </c>
      <c r="E34" s="106">
        <f t="shared" si="0"/>
        <v>80782.795600000012</v>
      </c>
    </row>
    <row r="35" spans="1:5" x14ac:dyDescent="0.25">
      <c r="A35" s="107">
        <v>3191</v>
      </c>
      <c r="B35" s="49" t="s">
        <v>66</v>
      </c>
      <c r="C35" s="36">
        <v>80455.403460000016</v>
      </c>
      <c r="D35" s="106">
        <f>+[1]Hoja1!C35</f>
        <v>97171.483899999992</v>
      </c>
      <c r="E35" s="106">
        <f t="shared" si="0"/>
        <v>177626.88735999999</v>
      </c>
    </row>
    <row r="36" spans="1:5" x14ac:dyDescent="0.25">
      <c r="A36" s="107">
        <v>3197</v>
      </c>
      <c r="B36" s="49" t="s">
        <v>77</v>
      </c>
      <c r="C36" s="36">
        <v>2140.96</v>
      </c>
      <c r="D36" s="106">
        <f>+[1]Hoja1!C36</f>
        <v>0</v>
      </c>
      <c r="E36" s="106">
        <f t="shared" si="0"/>
        <v>2140.96</v>
      </c>
    </row>
    <row r="37" spans="1:5" x14ac:dyDescent="0.25">
      <c r="A37" s="107">
        <v>3200</v>
      </c>
      <c r="B37" s="49" t="s">
        <v>67</v>
      </c>
      <c r="C37" s="36">
        <v>43577.367460000009</v>
      </c>
      <c r="D37" s="106">
        <f>+[1]Hoja1!C37</f>
        <v>85143.302999999985</v>
      </c>
      <c r="E37" s="106">
        <f t="shared" si="0"/>
        <v>128720.67045999999</v>
      </c>
    </row>
    <row r="38" spans="1:5" x14ac:dyDescent="0.25">
      <c r="A38" s="107">
        <v>3201</v>
      </c>
      <c r="B38" s="49" t="s">
        <v>68</v>
      </c>
      <c r="C38" s="36">
        <v>70728.620750000002</v>
      </c>
      <c r="D38" s="106">
        <f>+[1]Hoja1!C38</f>
        <v>87508.394750000007</v>
      </c>
      <c r="E38" s="106">
        <f t="shared" si="0"/>
        <v>158237.01550000001</v>
      </c>
    </row>
    <row r="39" spans="1:5" x14ac:dyDescent="0.25">
      <c r="A39" s="107">
        <v>3204</v>
      </c>
      <c r="B39" s="49" t="s">
        <v>69</v>
      </c>
      <c r="C39" s="36">
        <v>76121.029940000008</v>
      </c>
      <c r="D39" s="106">
        <f>+[1]Hoja1!C39</f>
        <v>85143.302999999985</v>
      </c>
      <c r="E39" s="106">
        <f t="shared" si="0"/>
        <v>161264.33293999999</v>
      </c>
    </row>
    <row r="40" spans="1:5" x14ac:dyDescent="0.25">
      <c r="A40" s="107">
        <v>3205</v>
      </c>
      <c r="B40" s="49" t="s">
        <v>70</v>
      </c>
      <c r="C40" s="36">
        <v>81752.537800000006</v>
      </c>
      <c r="D40" s="106">
        <f>+[1]Hoja1!C40</f>
        <v>76312.13979999999</v>
      </c>
      <c r="E40" s="106">
        <f t="shared" si="0"/>
        <v>158064.6776</v>
      </c>
    </row>
    <row r="41" spans="1:5" x14ac:dyDescent="0.25">
      <c r="A41" s="107">
        <v>3207</v>
      </c>
      <c r="B41" s="49" t="s">
        <v>38</v>
      </c>
      <c r="C41" s="36">
        <v>60457.553500000016</v>
      </c>
      <c r="D41" s="106">
        <f>+[1]Hoja1!C41</f>
        <v>50017.432000000008</v>
      </c>
      <c r="E41" s="106">
        <f t="shared" si="0"/>
        <v>110474.98550000002</v>
      </c>
    </row>
    <row r="42" spans="1:5" x14ac:dyDescent="0.25">
      <c r="A42" s="107">
        <v>3209</v>
      </c>
      <c r="B42" s="49" t="s">
        <v>71</v>
      </c>
      <c r="C42" s="36">
        <v>76167.328200000004</v>
      </c>
      <c r="D42" s="106">
        <f>+[1]Hoja1!C42</f>
        <v>49399.9758</v>
      </c>
      <c r="E42" s="106">
        <f t="shared" si="0"/>
        <v>125567.304</v>
      </c>
    </row>
    <row r="43" spans="1:5" x14ac:dyDescent="0.25">
      <c r="A43" s="107">
        <v>3210</v>
      </c>
      <c r="B43" s="49" t="s">
        <v>72</v>
      </c>
      <c r="C43" s="36">
        <v>66807.176500000016</v>
      </c>
      <c r="D43" s="106">
        <f>+[1]Hoja1!C43</f>
        <v>71014.321200000006</v>
      </c>
      <c r="E43" s="106">
        <f t="shared" si="0"/>
        <v>137821.49770000001</v>
      </c>
    </row>
    <row r="44" spans="1:5" x14ac:dyDescent="0.25">
      <c r="A44" s="108">
        <v>3212</v>
      </c>
      <c r="B44" s="49" t="s">
        <v>81</v>
      </c>
      <c r="C44" s="36">
        <v>68452.378840000005</v>
      </c>
      <c r="D44" s="106">
        <f>+[1]Hoja1!C44</f>
        <v>84429.292840000009</v>
      </c>
      <c r="E44" s="106">
        <f t="shared" si="0"/>
        <v>152881.67168000003</v>
      </c>
    </row>
    <row r="45" spans="1:5" x14ac:dyDescent="0.25">
      <c r="A45" s="108">
        <v>3213</v>
      </c>
      <c r="B45" s="49" t="s">
        <v>78</v>
      </c>
      <c r="C45" s="36">
        <v>68452.378840000005</v>
      </c>
      <c r="D45" s="106">
        <f>+[1]Hoja1!C45</f>
        <v>84429.292840000009</v>
      </c>
      <c r="E45" s="106">
        <f t="shared" si="0"/>
        <v>152881.67168000003</v>
      </c>
    </row>
    <row r="46" spans="1:5" x14ac:dyDescent="0.25">
      <c r="A46" s="108">
        <v>3214</v>
      </c>
      <c r="B46" s="49" t="s">
        <v>79</v>
      </c>
      <c r="C46" s="36">
        <v>60284.329820000006</v>
      </c>
      <c r="D46" s="106">
        <f>+[1]Hoja1!C46</f>
        <v>65590.332599999994</v>
      </c>
      <c r="E46" s="106">
        <f t="shared" si="0"/>
        <v>125874.66242000001</v>
      </c>
    </row>
    <row r="47" spans="1:5" x14ac:dyDescent="0.25">
      <c r="A47" s="108">
        <v>3215</v>
      </c>
      <c r="B47" s="49" t="s">
        <v>80</v>
      </c>
      <c r="C47" s="36">
        <v>68452.378840000005</v>
      </c>
      <c r="D47" s="106">
        <f>+[1]Hoja1!C47</f>
        <v>70197.796480000019</v>
      </c>
      <c r="E47" s="106">
        <f t="shared" si="0"/>
        <v>138650.17532000004</v>
      </c>
    </row>
    <row r="48" spans="1:5" x14ac:dyDescent="0.25">
      <c r="A48" s="108">
        <v>3216</v>
      </c>
      <c r="B48" s="49" t="s">
        <v>82</v>
      </c>
      <c r="C48" s="36">
        <v>62195.921719999991</v>
      </c>
      <c r="D48" s="106">
        <f>+[1]Hoja1!C48</f>
        <v>74335.710279999999</v>
      </c>
      <c r="E48" s="106">
        <f t="shared" si="0"/>
        <v>136531.63199999998</v>
      </c>
    </row>
    <row r="49" spans="1:5" x14ac:dyDescent="0.25">
      <c r="A49" s="108">
        <v>3217</v>
      </c>
      <c r="B49" s="49" t="s">
        <v>83</v>
      </c>
      <c r="C49" s="36">
        <v>68452.378840000005</v>
      </c>
      <c r="D49" s="106">
        <f>+[1]Hoja1!C49</f>
        <v>79084.520010000007</v>
      </c>
      <c r="E49" s="106">
        <f t="shared" si="0"/>
        <v>147536.89885</v>
      </c>
    </row>
    <row r="50" spans="1:5" x14ac:dyDescent="0.25">
      <c r="A50" s="108">
        <v>3218</v>
      </c>
      <c r="B50" s="49" t="s">
        <v>84</v>
      </c>
      <c r="C50" s="36">
        <v>57234.601690000003</v>
      </c>
      <c r="D50" s="106">
        <f>+[1]Hoja1!C50</f>
        <v>56844.954919999996</v>
      </c>
      <c r="E50" s="106">
        <f t="shared" si="0"/>
        <v>114079.55661</v>
      </c>
    </row>
    <row r="51" spans="1:5" x14ac:dyDescent="0.25">
      <c r="A51" s="107">
        <v>3219</v>
      </c>
      <c r="B51" s="49" t="s">
        <v>90</v>
      </c>
      <c r="C51" s="36">
        <v>68046.005000000005</v>
      </c>
      <c r="D51" s="106">
        <f>+[1]Hoja1!C51</f>
        <v>81381.503000000012</v>
      </c>
      <c r="E51" s="106">
        <f t="shared" si="0"/>
        <v>149427.50800000003</v>
      </c>
    </row>
    <row r="52" spans="1:5" x14ac:dyDescent="0.25">
      <c r="A52" s="107">
        <v>3220</v>
      </c>
      <c r="B52" s="49" t="s">
        <v>94</v>
      </c>
      <c r="C52" s="36">
        <v>62450.303799999994</v>
      </c>
      <c r="D52" s="106">
        <f>+[1]Hoja1!C52</f>
        <v>73018.090599999996</v>
      </c>
      <c r="E52" s="106">
        <f t="shared" si="0"/>
        <v>135468.39439999999</v>
      </c>
    </row>
    <row r="53" spans="1:5" x14ac:dyDescent="0.25">
      <c r="A53" s="107">
        <v>3221</v>
      </c>
      <c r="B53" s="49" t="s">
        <v>95</v>
      </c>
      <c r="C53" s="36">
        <v>58815.919199999997</v>
      </c>
      <c r="D53" s="106">
        <f>+[1]Hoja1!C53</f>
        <v>78304.468199999988</v>
      </c>
      <c r="E53" s="106">
        <f t="shared" si="0"/>
        <v>137120.38739999998</v>
      </c>
    </row>
    <row r="54" spans="1:5" x14ac:dyDescent="0.25">
      <c r="A54" s="107">
        <v>3222</v>
      </c>
      <c r="B54" s="49" t="s">
        <v>96</v>
      </c>
      <c r="C54" s="36">
        <v>62450.303799999994</v>
      </c>
      <c r="D54" s="106">
        <f>+[1]Hoja1!C54</f>
        <v>63684.330150000002</v>
      </c>
      <c r="E54" s="106">
        <f t="shared" si="0"/>
        <v>126134.63394999999</v>
      </c>
    </row>
    <row r="55" spans="1:5" x14ac:dyDescent="0.25">
      <c r="A55" s="107">
        <v>3223</v>
      </c>
      <c r="B55" s="49" t="s">
        <v>97</v>
      </c>
      <c r="C55" s="36">
        <v>64515.295049999993</v>
      </c>
      <c r="D55" s="106">
        <f>+[1]Hoja1!C55</f>
        <v>69383.705999999991</v>
      </c>
      <c r="E55" s="106">
        <f t="shared" si="0"/>
        <v>133899.00104999999</v>
      </c>
    </row>
    <row r="56" spans="1:5" x14ac:dyDescent="0.25">
      <c r="A56" s="107">
        <v>3224</v>
      </c>
      <c r="B56" s="49" t="s">
        <v>98</v>
      </c>
      <c r="C56" s="36">
        <v>53709.646099999998</v>
      </c>
      <c r="D56" s="106">
        <f>+[1]Hoja1!C56</f>
        <v>69383.705999999991</v>
      </c>
      <c r="E56" s="106">
        <f t="shared" si="0"/>
        <v>123093.35209999999</v>
      </c>
    </row>
    <row r="57" spans="1:5" x14ac:dyDescent="0.25">
      <c r="A57" s="107">
        <v>3225</v>
      </c>
      <c r="B57" s="49" t="s">
        <v>99</v>
      </c>
      <c r="C57" s="36">
        <v>62450.303799999994</v>
      </c>
      <c r="D57" s="106">
        <f>+[1]Hoja1!C57</f>
        <v>73018.090599999996</v>
      </c>
      <c r="E57" s="106">
        <f t="shared" si="0"/>
        <v>135468.39439999999</v>
      </c>
    </row>
    <row r="58" spans="1:5" x14ac:dyDescent="0.25">
      <c r="A58" s="103"/>
      <c r="B58" s="104"/>
      <c r="C58" s="29"/>
    </row>
  </sheetData>
  <mergeCells count="1">
    <mergeCell ref="C1:C2"/>
  </mergeCells>
  <pageMargins left="0.7" right="0.7" top="0.75" bottom="0.75" header="0.3" footer="0.3"/>
  <pageSetup paperSize="9" scale="87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7"/>
  <sheetViews>
    <sheetView topLeftCell="A19" workbookViewId="0">
      <selection activeCell="Q3" sqref="Q3:Q56"/>
    </sheetView>
  </sheetViews>
  <sheetFormatPr baseColWidth="10" defaultRowHeight="15" x14ac:dyDescent="0.25"/>
  <cols>
    <col min="2" max="2" width="31.28515625" customWidth="1"/>
    <col min="3" max="4" width="11.42578125" hidden="1" customWidth="1"/>
    <col min="5" max="5" width="10.140625" style="115" hidden="1" customWidth="1"/>
    <col min="6" max="6" width="10.5703125" style="115" hidden="1" customWidth="1"/>
    <col min="7" max="8" width="9.5703125" style="115" hidden="1" customWidth="1"/>
    <col min="9" max="9" width="10.42578125" style="115" hidden="1" customWidth="1"/>
    <col min="10" max="10" width="9.5703125" style="115" hidden="1" customWidth="1"/>
    <col min="11" max="11" width="16.85546875" hidden="1" customWidth="1"/>
    <col min="12" max="12" width="8.5703125" style="113" hidden="1" customWidth="1"/>
    <col min="13" max="13" width="9.140625" hidden="1" customWidth="1"/>
    <col min="14" max="14" width="11.5703125" hidden="1" customWidth="1"/>
    <col min="19" max="19" width="12" style="113" bestFit="1" customWidth="1"/>
    <col min="20" max="22" width="11.42578125" style="113"/>
  </cols>
  <sheetData>
    <row r="1" spans="1:22" ht="15.75" thickBot="1" x14ac:dyDescent="0.3">
      <c r="A1" s="62" t="s">
        <v>1</v>
      </c>
      <c r="B1" s="62" t="s">
        <v>2</v>
      </c>
      <c r="C1" s="203" t="s">
        <v>25</v>
      </c>
      <c r="D1" s="105"/>
      <c r="E1" s="114"/>
      <c r="K1" s="204" t="s">
        <v>108</v>
      </c>
      <c r="L1" s="205"/>
      <c r="M1" s="205"/>
      <c r="N1" s="205"/>
      <c r="O1" s="205"/>
      <c r="P1" s="165"/>
      <c r="Q1" s="158"/>
      <c r="R1" s="206" t="s">
        <v>109</v>
      </c>
      <c r="S1" s="207"/>
      <c r="T1" s="207"/>
      <c r="U1" s="207"/>
      <c r="V1" s="208"/>
    </row>
    <row r="2" spans="1:22" s="111" customFormat="1" ht="15.75" thickBot="1" x14ac:dyDescent="0.3">
      <c r="A2" s="109"/>
      <c r="B2" s="109"/>
      <c r="C2" s="203"/>
      <c r="D2" s="110"/>
      <c r="E2" s="116">
        <v>44348</v>
      </c>
      <c r="F2" s="116">
        <v>44317</v>
      </c>
      <c r="G2" s="116">
        <v>44287</v>
      </c>
      <c r="H2" s="116">
        <v>44256</v>
      </c>
      <c r="I2" s="116">
        <v>44228</v>
      </c>
      <c r="J2" s="129">
        <v>44197</v>
      </c>
      <c r="K2" s="133" t="s">
        <v>102</v>
      </c>
      <c r="L2" s="134">
        <v>0.5</v>
      </c>
      <c r="M2" s="135" t="s">
        <v>103</v>
      </c>
      <c r="N2" s="136" t="s">
        <v>104</v>
      </c>
      <c r="O2" s="146" t="s">
        <v>105</v>
      </c>
      <c r="P2" s="166"/>
      <c r="Q2" s="146"/>
      <c r="R2" s="132" t="s">
        <v>110</v>
      </c>
      <c r="S2" s="131" t="s">
        <v>109</v>
      </c>
      <c r="T2" s="131">
        <v>0.5</v>
      </c>
      <c r="U2" s="131"/>
      <c r="V2" s="131" t="s">
        <v>100</v>
      </c>
    </row>
    <row r="3" spans="1:22" x14ac:dyDescent="0.25">
      <c r="A3" s="107">
        <v>1864</v>
      </c>
      <c r="B3" s="49" t="s">
        <v>5</v>
      </c>
      <c r="C3" s="36">
        <v>35764.033719999999</v>
      </c>
      <c r="D3" s="106">
        <f>+[1]Hoja1!C3</f>
        <v>37408.574120000005</v>
      </c>
      <c r="E3" s="117">
        <f>+C3+D3</f>
        <v>73172.607840000011</v>
      </c>
      <c r="F3" s="118">
        <v>72674.84</v>
      </c>
      <c r="G3" s="118">
        <v>53316.9</v>
      </c>
      <c r="H3" s="118">
        <v>41832.699999999997</v>
      </c>
      <c r="I3" s="118">
        <v>51487.93</v>
      </c>
      <c r="J3" s="130">
        <v>39457.599999999999</v>
      </c>
      <c r="K3" s="137">
        <f t="shared" ref="K3:K10" si="0">+E3</f>
        <v>73172.607840000011</v>
      </c>
      <c r="L3" s="138">
        <f t="shared" ref="L3:L34" si="1">+K3*50%</f>
        <v>36586.303920000006</v>
      </c>
      <c r="M3" s="139">
        <f>+L3/6</f>
        <v>6097.7173200000007</v>
      </c>
      <c r="N3" s="139">
        <v>6</v>
      </c>
      <c r="O3" s="147">
        <f>+M3*N3</f>
        <v>36586.303920000006</v>
      </c>
      <c r="P3" s="142">
        <f>+O3*19.5%</f>
        <v>7134.3292644000012</v>
      </c>
      <c r="Q3" s="164">
        <f>+O3-P3</f>
        <v>29451.974655600003</v>
      </c>
      <c r="R3" s="150">
        <f>+E3+F3+G3+H3+I3+J3</f>
        <v>331942.57783999998</v>
      </c>
      <c r="S3" s="151">
        <f>+R3/N3</f>
        <v>55323.762973333331</v>
      </c>
      <c r="T3" s="151">
        <f>+S3/2</f>
        <v>27661.881486666665</v>
      </c>
      <c r="U3" s="151">
        <f>+T3/6</f>
        <v>4610.3135811111106</v>
      </c>
      <c r="V3" s="152">
        <f>+U3*N3</f>
        <v>27661.881486666665</v>
      </c>
    </row>
    <row r="4" spans="1:22" x14ac:dyDescent="0.25">
      <c r="A4" s="107">
        <v>3101</v>
      </c>
      <c r="B4" s="49" t="s">
        <v>9</v>
      </c>
      <c r="C4" s="36">
        <v>88854.454700000017</v>
      </c>
      <c r="D4" s="106">
        <f>+[1]Hoja1!C4</f>
        <v>100296.52980000002</v>
      </c>
      <c r="E4" s="117">
        <f t="shared" ref="E4:E56" si="2">+C4+D4</f>
        <v>189150.98450000002</v>
      </c>
      <c r="F4" s="118">
        <v>179579.46</v>
      </c>
      <c r="G4" s="118">
        <v>67352.22</v>
      </c>
      <c r="H4" s="118">
        <v>66807.12</v>
      </c>
      <c r="I4" s="118">
        <v>59617.65</v>
      </c>
      <c r="J4" s="130">
        <v>57937.32</v>
      </c>
      <c r="K4" s="140">
        <f t="shared" si="0"/>
        <v>189150.98450000002</v>
      </c>
      <c r="L4" s="141">
        <f t="shared" si="1"/>
        <v>94575.49225000001</v>
      </c>
      <c r="M4" s="142">
        <f t="shared" ref="M4:M56" si="3">+L4/6</f>
        <v>15762.582041666668</v>
      </c>
      <c r="N4" s="142">
        <v>6</v>
      </c>
      <c r="O4" s="148">
        <f t="shared" ref="O4:O56" si="4">+M4*N4</f>
        <v>94575.49225000001</v>
      </c>
      <c r="P4" s="142">
        <f t="shared" ref="P4:P57" si="5">+O4*19.5%</f>
        <v>18442.220988750003</v>
      </c>
      <c r="Q4" s="164">
        <f t="shared" ref="Q4:Q57" si="6">+O4-P4</f>
        <v>76133.271261250004</v>
      </c>
      <c r="R4" s="153">
        <f t="shared" ref="R4:R56" si="7">+E4+F4+G4+H4+I4+J4</f>
        <v>620444.75449999992</v>
      </c>
      <c r="S4" s="112">
        <f>+R4/6</f>
        <v>103407.45908333332</v>
      </c>
      <c r="T4" s="112">
        <f>+S4/2</f>
        <v>51703.72954166666</v>
      </c>
      <c r="U4" s="112">
        <f t="shared" ref="U4:U56" si="8">+T4/6</f>
        <v>8617.2882569444428</v>
      </c>
      <c r="V4" s="154">
        <f t="shared" ref="V4:V56" si="9">+U4*N4</f>
        <v>51703.72954166666</v>
      </c>
    </row>
    <row r="5" spans="1:22" x14ac:dyDescent="0.25">
      <c r="A5" s="107">
        <v>3104</v>
      </c>
      <c r="B5" s="49" t="s">
        <v>39</v>
      </c>
      <c r="C5" s="36">
        <v>90451.533200000005</v>
      </c>
      <c r="D5" s="106">
        <f>+[1]Hoja1!C5</f>
        <v>93858.63400000002</v>
      </c>
      <c r="E5" s="117">
        <f t="shared" si="2"/>
        <v>184310.16720000003</v>
      </c>
      <c r="F5" s="118">
        <v>118256.63</v>
      </c>
      <c r="G5" s="118">
        <v>63146.71</v>
      </c>
      <c r="H5" s="118">
        <v>64107.85</v>
      </c>
      <c r="I5" s="118">
        <v>55740.23</v>
      </c>
      <c r="J5" s="130">
        <v>55883.64</v>
      </c>
      <c r="K5" s="140">
        <f t="shared" si="0"/>
        <v>184310.16720000003</v>
      </c>
      <c r="L5" s="141">
        <f t="shared" si="1"/>
        <v>92155.083600000013</v>
      </c>
      <c r="M5" s="142">
        <f t="shared" si="3"/>
        <v>15359.180600000002</v>
      </c>
      <c r="N5" s="142">
        <v>6</v>
      </c>
      <c r="O5" s="148">
        <f t="shared" si="4"/>
        <v>92155.083600000013</v>
      </c>
      <c r="P5" s="142">
        <f t="shared" si="5"/>
        <v>17970.241302000002</v>
      </c>
      <c r="Q5" s="164">
        <f t="shared" si="6"/>
        <v>74184.842298000003</v>
      </c>
      <c r="R5" s="153">
        <f t="shared" si="7"/>
        <v>541445.22719999996</v>
      </c>
      <c r="S5" s="112">
        <f t="shared" ref="S5" si="10">+R5/N5</f>
        <v>90240.871199999994</v>
      </c>
      <c r="T5" s="112">
        <f t="shared" ref="T5:T56" si="11">+S5/2</f>
        <v>45120.435599999997</v>
      </c>
      <c r="U5" s="112">
        <f t="shared" si="8"/>
        <v>7520.0725999999995</v>
      </c>
      <c r="V5" s="154">
        <f t="shared" si="9"/>
        <v>45120.435599999997</v>
      </c>
    </row>
    <row r="6" spans="1:22" x14ac:dyDescent="0.25">
      <c r="A6" s="107">
        <v>3106</v>
      </c>
      <c r="B6" s="49" t="s">
        <v>40</v>
      </c>
      <c r="C6" s="36">
        <v>70648.736179999993</v>
      </c>
      <c r="D6" s="106">
        <f>+[1]Hoja1!C6</f>
        <v>83513.497199999998</v>
      </c>
      <c r="E6" s="117">
        <f t="shared" si="2"/>
        <v>154162.23337999999</v>
      </c>
      <c r="F6" s="118">
        <v>147093.66</v>
      </c>
      <c r="G6" s="118">
        <v>45849.77</v>
      </c>
      <c r="H6" s="118">
        <v>29391.19</v>
      </c>
      <c r="I6" s="118">
        <v>54276.94</v>
      </c>
      <c r="J6" s="130">
        <v>49754.02</v>
      </c>
      <c r="K6" s="140">
        <f t="shared" si="0"/>
        <v>154162.23337999999</v>
      </c>
      <c r="L6" s="141">
        <f t="shared" si="1"/>
        <v>77081.116689999995</v>
      </c>
      <c r="M6" s="142">
        <f t="shared" si="3"/>
        <v>12846.852781666666</v>
      </c>
      <c r="N6" s="142">
        <v>6</v>
      </c>
      <c r="O6" s="148">
        <f t="shared" si="4"/>
        <v>77081.116689999995</v>
      </c>
      <c r="P6" s="142">
        <f t="shared" si="5"/>
        <v>15030.81775455</v>
      </c>
      <c r="Q6" s="164">
        <f t="shared" si="6"/>
        <v>62050.298935449995</v>
      </c>
      <c r="R6" s="153">
        <f t="shared" si="7"/>
        <v>480527.81338000007</v>
      </c>
      <c r="S6" s="112">
        <f t="shared" ref="S6" si="12">+R6/6</f>
        <v>80087.968896666673</v>
      </c>
      <c r="T6" s="112">
        <f t="shared" si="11"/>
        <v>40043.984448333336</v>
      </c>
      <c r="U6" s="112">
        <f t="shared" si="8"/>
        <v>6673.9974080555558</v>
      </c>
      <c r="V6" s="154">
        <f t="shared" si="9"/>
        <v>40043.984448333336</v>
      </c>
    </row>
    <row r="7" spans="1:22" x14ac:dyDescent="0.25">
      <c r="A7" s="107">
        <v>3108</v>
      </c>
      <c r="B7" s="49" t="s">
        <v>49</v>
      </c>
      <c r="C7" s="36">
        <v>55529.94571</v>
      </c>
      <c r="D7" s="106">
        <f>+[1]Hoja1!C7</f>
        <v>78741.297359999997</v>
      </c>
      <c r="E7" s="117">
        <f t="shared" si="2"/>
        <v>134271.24307</v>
      </c>
      <c r="F7" s="118">
        <v>91024.98</v>
      </c>
      <c r="G7" s="118">
        <v>33159.35</v>
      </c>
      <c r="H7" s="118">
        <v>0</v>
      </c>
      <c r="I7" s="118">
        <v>0</v>
      </c>
      <c r="J7" s="130">
        <v>0</v>
      </c>
      <c r="K7" s="140">
        <f t="shared" si="0"/>
        <v>134271.24307</v>
      </c>
      <c r="L7" s="141">
        <f t="shared" si="1"/>
        <v>67135.621534999998</v>
      </c>
      <c r="M7" s="142">
        <f t="shared" si="3"/>
        <v>11189.270255833333</v>
      </c>
      <c r="N7" s="142">
        <v>3</v>
      </c>
      <c r="O7" s="148">
        <f t="shared" si="4"/>
        <v>33567.810767499999</v>
      </c>
      <c r="P7" s="142">
        <f t="shared" si="5"/>
        <v>6545.7230996625003</v>
      </c>
      <c r="Q7" s="164">
        <f t="shared" si="6"/>
        <v>27022.087667837499</v>
      </c>
      <c r="R7" s="153">
        <f t="shared" si="7"/>
        <v>258455.57307000001</v>
      </c>
      <c r="S7" s="112">
        <f t="shared" ref="S7" si="13">+R7/N7</f>
        <v>86151.857690000004</v>
      </c>
      <c r="T7" s="112">
        <f t="shared" si="11"/>
        <v>43075.928845000002</v>
      </c>
      <c r="U7" s="112">
        <f t="shared" si="8"/>
        <v>7179.321474166667</v>
      </c>
      <c r="V7" s="154">
        <f t="shared" si="9"/>
        <v>21537.964422500001</v>
      </c>
    </row>
    <row r="8" spans="1:22" x14ac:dyDescent="0.25">
      <c r="A8" s="107">
        <v>3109</v>
      </c>
      <c r="B8" s="49" t="s">
        <v>50</v>
      </c>
      <c r="C8" s="36">
        <v>79888.049060000019</v>
      </c>
      <c r="D8" s="106">
        <f>+[1]Hoja1!C8</f>
        <v>83513.497199999998</v>
      </c>
      <c r="E8" s="117">
        <f t="shared" si="2"/>
        <v>163401.54626000003</v>
      </c>
      <c r="F8" s="118">
        <v>154651.15</v>
      </c>
      <c r="G8" s="118">
        <v>33588.29</v>
      </c>
      <c r="H8" s="118">
        <v>0</v>
      </c>
      <c r="I8" s="118">
        <v>0</v>
      </c>
      <c r="J8" s="130">
        <v>0</v>
      </c>
      <c r="K8" s="140">
        <f t="shared" si="0"/>
        <v>163401.54626000003</v>
      </c>
      <c r="L8" s="141">
        <f t="shared" si="1"/>
        <v>81700.773130000016</v>
      </c>
      <c r="M8" s="142">
        <f t="shared" si="3"/>
        <v>13616.795521666669</v>
      </c>
      <c r="N8" s="142">
        <v>3</v>
      </c>
      <c r="O8" s="148">
        <f t="shared" si="4"/>
        <v>40850.386565000008</v>
      </c>
      <c r="P8" s="142">
        <f t="shared" si="5"/>
        <v>7965.8253801750016</v>
      </c>
      <c r="Q8" s="164">
        <f t="shared" si="6"/>
        <v>32884.561184825005</v>
      </c>
      <c r="R8" s="153">
        <f t="shared" si="7"/>
        <v>351640.98625999998</v>
      </c>
      <c r="S8" s="112">
        <f t="shared" ref="S8" si="14">+R8/6</f>
        <v>58606.831043333332</v>
      </c>
      <c r="T8" s="112">
        <f t="shared" si="11"/>
        <v>29303.415521666666</v>
      </c>
      <c r="U8" s="112">
        <f t="shared" si="8"/>
        <v>4883.902586944444</v>
      </c>
      <c r="V8" s="154">
        <f t="shared" si="9"/>
        <v>14651.707760833331</v>
      </c>
    </row>
    <row r="9" spans="1:22" x14ac:dyDescent="0.25">
      <c r="A9" s="107">
        <v>3113</v>
      </c>
      <c r="B9" s="49" t="s">
        <v>35</v>
      </c>
      <c r="C9" s="36">
        <v>85340.882000000012</v>
      </c>
      <c r="D9" s="106">
        <f>+[1]Hoja1!C9</f>
        <v>73806.9516</v>
      </c>
      <c r="E9" s="117">
        <f t="shared" si="2"/>
        <v>159147.83360000001</v>
      </c>
      <c r="F9" s="118">
        <v>130775.7</v>
      </c>
      <c r="G9" s="118">
        <v>67352.22</v>
      </c>
      <c r="H9" s="118">
        <v>65201.38</v>
      </c>
      <c r="I9" s="118">
        <v>31478.99</v>
      </c>
      <c r="J9" s="130">
        <v>59772.45</v>
      </c>
      <c r="K9" s="140">
        <f t="shared" si="0"/>
        <v>159147.83360000001</v>
      </c>
      <c r="L9" s="141">
        <f t="shared" si="1"/>
        <v>79573.916800000006</v>
      </c>
      <c r="M9" s="142">
        <f t="shared" si="3"/>
        <v>13262.319466666668</v>
      </c>
      <c r="N9" s="142">
        <v>6</v>
      </c>
      <c r="O9" s="148">
        <f t="shared" si="4"/>
        <v>79573.916800000006</v>
      </c>
      <c r="P9" s="142">
        <f t="shared" si="5"/>
        <v>15516.913776000001</v>
      </c>
      <c r="Q9" s="164">
        <f t="shared" si="6"/>
        <v>64057.003024000005</v>
      </c>
      <c r="R9" s="153">
        <f t="shared" si="7"/>
        <v>513728.57360000006</v>
      </c>
      <c r="S9" s="112">
        <f t="shared" ref="S9" si="15">+R9/N9</f>
        <v>85621.428933333344</v>
      </c>
      <c r="T9" s="112">
        <f t="shared" si="11"/>
        <v>42810.714466666672</v>
      </c>
      <c r="U9" s="112">
        <f t="shared" si="8"/>
        <v>7135.1190777777783</v>
      </c>
      <c r="V9" s="154">
        <f t="shared" si="9"/>
        <v>42810.714466666672</v>
      </c>
    </row>
    <row r="10" spans="1:22" x14ac:dyDescent="0.25">
      <c r="A10" s="107">
        <v>3115</v>
      </c>
      <c r="B10" s="49" t="s">
        <v>51</v>
      </c>
      <c r="C10" s="36">
        <v>83069.51562000002</v>
      </c>
      <c r="D10" s="106">
        <f>+[1]Hoja1!C10</f>
        <v>94250.94683999999</v>
      </c>
      <c r="E10" s="117">
        <f t="shared" si="2"/>
        <v>177320.46246000001</v>
      </c>
      <c r="F10" s="118">
        <v>136613.66</v>
      </c>
      <c r="G10" s="118">
        <v>38163.58</v>
      </c>
      <c r="H10" s="118">
        <v>0</v>
      </c>
      <c r="I10" s="118">
        <v>0</v>
      </c>
      <c r="J10" s="130">
        <v>0</v>
      </c>
      <c r="K10" s="140">
        <f t="shared" si="0"/>
        <v>177320.46246000001</v>
      </c>
      <c r="L10" s="141">
        <f t="shared" si="1"/>
        <v>88660.231230000005</v>
      </c>
      <c r="M10" s="142">
        <f t="shared" si="3"/>
        <v>14776.705205</v>
      </c>
      <c r="N10" s="142">
        <v>3</v>
      </c>
      <c r="O10" s="148">
        <f t="shared" si="4"/>
        <v>44330.115615000002</v>
      </c>
      <c r="P10" s="142">
        <f t="shared" si="5"/>
        <v>8644.3725449250014</v>
      </c>
      <c r="Q10" s="164">
        <f t="shared" si="6"/>
        <v>35685.743070074997</v>
      </c>
      <c r="R10" s="153">
        <f t="shared" si="7"/>
        <v>352097.70246</v>
      </c>
      <c r="S10" s="112">
        <f t="shared" ref="S10" si="16">+R10/6</f>
        <v>58682.950409999998</v>
      </c>
      <c r="T10" s="112">
        <f t="shared" si="11"/>
        <v>29341.475204999999</v>
      </c>
      <c r="U10" s="112">
        <f t="shared" si="8"/>
        <v>4890.2458674999998</v>
      </c>
      <c r="V10" s="154">
        <f t="shared" si="9"/>
        <v>14670.737602499999</v>
      </c>
    </row>
    <row r="11" spans="1:22" x14ac:dyDescent="0.25">
      <c r="A11" s="107">
        <v>3117</v>
      </c>
      <c r="B11" s="49" t="s">
        <v>46</v>
      </c>
      <c r="C11" s="36">
        <v>78993.261590000009</v>
      </c>
      <c r="D11" s="106">
        <f>+[1]Hoja1!C11</f>
        <v>64299.451680000006</v>
      </c>
      <c r="E11" s="117">
        <f t="shared" si="2"/>
        <v>143292.71327000001</v>
      </c>
      <c r="F11" s="118">
        <v>167682.91</v>
      </c>
      <c r="G11" s="118">
        <v>48100.55</v>
      </c>
      <c r="H11" s="118">
        <v>59958.51</v>
      </c>
      <c r="I11" s="118">
        <v>55168.32</v>
      </c>
      <c r="J11" s="130">
        <v>54167.91</v>
      </c>
      <c r="K11" s="140">
        <f>+F11</f>
        <v>167682.91</v>
      </c>
      <c r="L11" s="141">
        <f t="shared" si="1"/>
        <v>83841.455000000002</v>
      </c>
      <c r="M11" s="142">
        <f t="shared" si="3"/>
        <v>13973.575833333334</v>
      </c>
      <c r="N11" s="142">
        <v>6</v>
      </c>
      <c r="O11" s="148">
        <f t="shared" si="4"/>
        <v>83841.455000000002</v>
      </c>
      <c r="P11" s="142">
        <f t="shared" si="5"/>
        <v>16349.083725</v>
      </c>
      <c r="Q11" s="164">
        <f t="shared" si="6"/>
        <v>67492.371274999998</v>
      </c>
      <c r="R11" s="153">
        <f t="shared" si="7"/>
        <v>528370.91327000002</v>
      </c>
      <c r="S11" s="112">
        <f t="shared" ref="S11" si="17">+R11/N11</f>
        <v>88061.818878333332</v>
      </c>
      <c r="T11" s="112">
        <f t="shared" si="11"/>
        <v>44030.909439166666</v>
      </c>
      <c r="U11" s="112">
        <f t="shared" si="8"/>
        <v>7338.4849065277776</v>
      </c>
      <c r="V11" s="154">
        <f t="shared" si="9"/>
        <v>44030.909439166666</v>
      </c>
    </row>
    <row r="12" spans="1:22" x14ac:dyDescent="0.25">
      <c r="A12" s="107">
        <v>3120</v>
      </c>
      <c r="B12" s="49" t="s">
        <v>52</v>
      </c>
      <c r="C12" s="36">
        <v>81279.94068</v>
      </c>
      <c r="D12" s="106">
        <f>+[1]Hoja1!C12</f>
        <v>89478.746999999988</v>
      </c>
      <c r="E12" s="117">
        <f t="shared" si="2"/>
        <v>170758.68767999997</v>
      </c>
      <c r="F12" s="118">
        <v>160477.51</v>
      </c>
      <c r="G12" s="118">
        <v>35947.42</v>
      </c>
      <c r="H12" s="118">
        <v>0</v>
      </c>
      <c r="I12" s="118">
        <v>0</v>
      </c>
      <c r="J12" s="130">
        <v>0</v>
      </c>
      <c r="K12" s="140">
        <f>+E12</f>
        <v>170758.68767999997</v>
      </c>
      <c r="L12" s="141">
        <f t="shared" si="1"/>
        <v>85379.343839999987</v>
      </c>
      <c r="M12" s="142">
        <f t="shared" si="3"/>
        <v>14229.890639999998</v>
      </c>
      <c r="N12" s="142">
        <v>3</v>
      </c>
      <c r="O12" s="148">
        <f t="shared" si="4"/>
        <v>42689.671919999993</v>
      </c>
      <c r="P12" s="142">
        <f t="shared" si="5"/>
        <v>8324.4860243999992</v>
      </c>
      <c r="Q12" s="164">
        <f t="shared" si="6"/>
        <v>34365.185895599992</v>
      </c>
      <c r="R12" s="153">
        <f t="shared" si="7"/>
        <v>367183.61767999997</v>
      </c>
      <c r="S12" s="112">
        <f t="shared" ref="S12" si="18">+R12/6</f>
        <v>61197.26961333333</v>
      </c>
      <c r="T12" s="112">
        <f t="shared" si="11"/>
        <v>30598.634806666665</v>
      </c>
      <c r="U12" s="112">
        <f t="shared" si="8"/>
        <v>5099.7724677777778</v>
      </c>
      <c r="V12" s="154">
        <f t="shared" si="9"/>
        <v>15299.317403333334</v>
      </c>
    </row>
    <row r="13" spans="1:22" x14ac:dyDescent="0.25">
      <c r="A13" s="107">
        <v>3121</v>
      </c>
      <c r="B13" s="49" t="s">
        <v>41</v>
      </c>
      <c r="C13" s="36">
        <v>83069.51562000002</v>
      </c>
      <c r="D13" s="106">
        <f>+[1]Hoja1!C13</f>
        <v>99619.671659999993</v>
      </c>
      <c r="E13" s="117">
        <f t="shared" si="2"/>
        <v>182689.18728000001</v>
      </c>
      <c r="F13" s="118">
        <v>118167.11</v>
      </c>
      <c r="G13" s="118">
        <v>54353.85</v>
      </c>
      <c r="H13" s="118">
        <v>59979.37</v>
      </c>
      <c r="I13" s="118">
        <v>55310.879999999997</v>
      </c>
      <c r="J13" s="130">
        <v>53739.55</v>
      </c>
      <c r="K13" s="140">
        <f>+E13</f>
        <v>182689.18728000001</v>
      </c>
      <c r="L13" s="141">
        <f t="shared" si="1"/>
        <v>91344.593640000006</v>
      </c>
      <c r="M13" s="142">
        <f t="shared" si="3"/>
        <v>15224.098940000002</v>
      </c>
      <c r="N13" s="142">
        <v>6</v>
      </c>
      <c r="O13" s="148">
        <f t="shared" si="4"/>
        <v>91344.593640000006</v>
      </c>
      <c r="P13" s="142">
        <f t="shared" si="5"/>
        <v>17812.195759800001</v>
      </c>
      <c r="Q13" s="164">
        <f t="shared" si="6"/>
        <v>73532.397880200006</v>
      </c>
      <c r="R13" s="153">
        <f t="shared" si="7"/>
        <v>524239.94727999996</v>
      </c>
      <c r="S13" s="112">
        <f t="shared" ref="S13" si="19">+R13/N13</f>
        <v>87373.324546666656</v>
      </c>
      <c r="T13" s="112">
        <f t="shared" si="11"/>
        <v>43686.662273333328</v>
      </c>
      <c r="U13" s="112">
        <f t="shared" si="8"/>
        <v>7281.1103788888877</v>
      </c>
      <c r="V13" s="154">
        <f t="shared" si="9"/>
        <v>43686.662273333328</v>
      </c>
    </row>
    <row r="14" spans="1:22" x14ac:dyDescent="0.25">
      <c r="A14" s="107">
        <v>3123</v>
      </c>
      <c r="B14" s="49" t="s">
        <v>10</v>
      </c>
      <c r="C14" s="36">
        <v>83402.892800000031</v>
      </c>
      <c r="D14" s="106">
        <f>+[1]Hoja1!C14</f>
        <v>72085.345400000006</v>
      </c>
      <c r="E14" s="117">
        <f t="shared" si="2"/>
        <v>155488.23820000002</v>
      </c>
      <c r="F14" s="118">
        <v>167736.20000000001</v>
      </c>
      <c r="G14" s="118">
        <v>63579.76</v>
      </c>
      <c r="H14" s="118">
        <v>56874.92</v>
      </c>
      <c r="I14" s="118">
        <v>48678.61</v>
      </c>
      <c r="J14" s="130">
        <v>46562.17</v>
      </c>
      <c r="K14" s="140">
        <f>+F14</f>
        <v>167736.20000000001</v>
      </c>
      <c r="L14" s="141">
        <f t="shared" si="1"/>
        <v>83868.100000000006</v>
      </c>
      <c r="M14" s="142">
        <f t="shared" si="3"/>
        <v>13978.016666666668</v>
      </c>
      <c r="N14" s="142">
        <v>6</v>
      </c>
      <c r="O14" s="148">
        <f t="shared" si="4"/>
        <v>83868.100000000006</v>
      </c>
      <c r="P14" s="142">
        <f t="shared" si="5"/>
        <v>16354.279500000002</v>
      </c>
      <c r="Q14" s="164">
        <f t="shared" si="6"/>
        <v>67513.820500000002</v>
      </c>
      <c r="R14" s="153">
        <f t="shared" si="7"/>
        <v>538919.89820000005</v>
      </c>
      <c r="S14" s="112">
        <f t="shared" ref="S14" si="20">+R14/6</f>
        <v>89819.983033333338</v>
      </c>
      <c r="T14" s="112">
        <f t="shared" si="11"/>
        <v>44909.991516666669</v>
      </c>
      <c r="U14" s="112">
        <f t="shared" si="8"/>
        <v>7484.9985861111118</v>
      </c>
      <c r="V14" s="154">
        <f t="shared" si="9"/>
        <v>44909.991516666669</v>
      </c>
    </row>
    <row r="15" spans="1:22" x14ac:dyDescent="0.25">
      <c r="A15" s="107">
        <v>3124</v>
      </c>
      <c r="B15" s="49" t="s">
        <v>53</v>
      </c>
      <c r="C15" s="36">
        <v>63504.101439999991</v>
      </c>
      <c r="D15" s="106">
        <f>+[1]Hoja1!C15</f>
        <v>46657.250719999996</v>
      </c>
      <c r="E15" s="117">
        <f t="shared" si="2"/>
        <v>110161.35215999998</v>
      </c>
      <c r="F15" s="118">
        <v>91420.18</v>
      </c>
      <c r="G15" s="118">
        <v>36623.22</v>
      </c>
      <c r="H15" s="118">
        <v>0</v>
      </c>
      <c r="I15" s="118">
        <v>0</v>
      </c>
      <c r="J15" s="130">
        <v>0</v>
      </c>
      <c r="K15" s="140">
        <f>+E15</f>
        <v>110161.35215999998</v>
      </c>
      <c r="L15" s="141">
        <f t="shared" si="1"/>
        <v>55080.67607999999</v>
      </c>
      <c r="M15" s="142">
        <f t="shared" si="3"/>
        <v>9180.1126799999984</v>
      </c>
      <c r="N15" s="142">
        <v>3</v>
      </c>
      <c r="O15" s="148">
        <f t="shared" si="4"/>
        <v>27540.338039999995</v>
      </c>
      <c r="P15" s="142">
        <f t="shared" si="5"/>
        <v>5370.3659177999989</v>
      </c>
      <c r="Q15" s="164">
        <f t="shared" si="6"/>
        <v>22169.972122199997</v>
      </c>
      <c r="R15" s="153">
        <f t="shared" si="7"/>
        <v>238204.75215999997</v>
      </c>
      <c r="S15" s="112">
        <f t="shared" ref="S15" si="21">+R15/N15</f>
        <v>79401.584053333325</v>
      </c>
      <c r="T15" s="112">
        <f t="shared" si="11"/>
        <v>39700.792026666662</v>
      </c>
      <c r="U15" s="112">
        <f t="shared" si="8"/>
        <v>6616.7986711111107</v>
      </c>
      <c r="V15" s="154">
        <f t="shared" si="9"/>
        <v>19850.396013333331</v>
      </c>
    </row>
    <row r="16" spans="1:22" x14ac:dyDescent="0.25">
      <c r="A16" s="107">
        <v>3126</v>
      </c>
      <c r="B16" s="49" t="s">
        <v>33</v>
      </c>
      <c r="C16" s="36">
        <v>80246.392240000001</v>
      </c>
      <c r="D16" s="106">
        <f>+[1]Hoja1!C16</f>
        <v>98815.20594</v>
      </c>
      <c r="E16" s="117">
        <f t="shared" si="2"/>
        <v>179061.59818</v>
      </c>
      <c r="F16" s="118">
        <v>134633.67000000001</v>
      </c>
      <c r="G16" s="118">
        <v>47050.43</v>
      </c>
      <c r="H16" s="118">
        <v>62957.46</v>
      </c>
      <c r="I16" s="118">
        <v>52362.080000000002</v>
      </c>
      <c r="J16" s="130">
        <v>50790.75</v>
      </c>
      <c r="K16" s="140">
        <f>+E16</f>
        <v>179061.59818</v>
      </c>
      <c r="L16" s="141">
        <f t="shared" si="1"/>
        <v>89530.79909</v>
      </c>
      <c r="M16" s="142">
        <f t="shared" si="3"/>
        <v>14921.799848333334</v>
      </c>
      <c r="N16" s="142">
        <v>6</v>
      </c>
      <c r="O16" s="148">
        <f t="shared" si="4"/>
        <v>89530.79909</v>
      </c>
      <c r="P16" s="142">
        <f t="shared" si="5"/>
        <v>17458.50582255</v>
      </c>
      <c r="Q16" s="164">
        <f t="shared" si="6"/>
        <v>72072.293267450004</v>
      </c>
      <c r="R16" s="153">
        <f t="shared" si="7"/>
        <v>526855.9881800001</v>
      </c>
      <c r="S16" s="112">
        <f t="shared" ref="S16" si="22">+R16/6</f>
        <v>87809.331363333346</v>
      </c>
      <c r="T16" s="112">
        <f t="shared" si="11"/>
        <v>43904.665681666673</v>
      </c>
      <c r="U16" s="112">
        <f t="shared" si="8"/>
        <v>7317.4442802777785</v>
      </c>
      <c r="V16" s="154">
        <f t="shared" si="9"/>
        <v>43904.665681666673</v>
      </c>
    </row>
    <row r="17" spans="1:22" x14ac:dyDescent="0.25">
      <c r="A17" s="107">
        <v>3128</v>
      </c>
      <c r="B17" s="49" t="s">
        <v>47</v>
      </c>
      <c r="C17" s="36">
        <v>82415.987580000015</v>
      </c>
      <c r="D17" s="106">
        <f>+[1]Hoja1!C17</f>
        <v>99604.149699999994</v>
      </c>
      <c r="E17" s="117">
        <f t="shared" si="2"/>
        <v>182020.13728000002</v>
      </c>
      <c r="F17" s="118">
        <v>122088.74</v>
      </c>
      <c r="G17" s="118">
        <v>48114.04</v>
      </c>
      <c r="H17" s="118">
        <v>59979.37</v>
      </c>
      <c r="I17" s="118">
        <v>55310.879999999997</v>
      </c>
      <c r="J17" s="130">
        <v>44663.45</v>
      </c>
      <c r="K17" s="140">
        <f>+E17</f>
        <v>182020.13728000002</v>
      </c>
      <c r="L17" s="141">
        <f t="shared" si="1"/>
        <v>91010.068640000012</v>
      </c>
      <c r="M17" s="142">
        <f t="shared" si="3"/>
        <v>15168.344773333336</v>
      </c>
      <c r="N17" s="142">
        <v>6</v>
      </c>
      <c r="O17" s="148">
        <f t="shared" si="4"/>
        <v>91010.068640000012</v>
      </c>
      <c r="P17" s="142">
        <f t="shared" si="5"/>
        <v>17746.963384800001</v>
      </c>
      <c r="Q17" s="164">
        <f t="shared" si="6"/>
        <v>73263.105255200004</v>
      </c>
      <c r="R17" s="153">
        <f t="shared" si="7"/>
        <v>512176.61728000001</v>
      </c>
      <c r="S17" s="112">
        <f t="shared" ref="S17" si="23">+R17/N17</f>
        <v>85362.769546666663</v>
      </c>
      <c r="T17" s="112">
        <f t="shared" si="11"/>
        <v>42681.384773333331</v>
      </c>
      <c r="U17" s="112">
        <f t="shared" si="8"/>
        <v>7113.5641288888883</v>
      </c>
      <c r="V17" s="154">
        <f t="shared" si="9"/>
        <v>42681.384773333331</v>
      </c>
    </row>
    <row r="18" spans="1:22" x14ac:dyDescent="0.25">
      <c r="A18" s="107">
        <v>3129</v>
      </c>
      <c r="B18" s="49" t="s">
        <v>55</v>
      </c>
      <c r="C18" s="36">
        <v>80640.864119999998</v>
      </c>
      <c r="D18" s="106">
        <f>+[1]Hoja1!C18</f>
        <v>95067.723080000011</v>
      </c>
      <c r="E18" s="117">
        <f t="shared" si="2"/>
        <v>175708.58720000001</v>
      </c>
      <c r="F18" s="118">
        <v>152120.20000000001</v>
      </c>
      <c r="G18" s="118">
        <v>45418.89</v>
      </c>
      <c r="H18" s="118">
        <v>57560.58</v>
      </c>
      <c r="I18" s="118">
        <v>55310.879999999997</v>
      </c>
      <c r="J18" s="130">
        <v>0</v>
      </c>
      <c r="K18" s="140">
        <f>+E18</f>
        <v>175708.58720000001</v>
      </c>
      <c r="L18" s="141">
        <f t="shared" si="1"/>
        <v>87854.293600000005</v>
      </c>
      <c r="M18" s="142">
        <f t="shared" si="3"/>
        <v>14642.382266666667</v>
      </c>
      <c r="N18" s="142">
        <v>5</v>
      </c>
      <c r="O18" s="148">
        <f t="shared" si="4"/>
        <v>73211.911333333337</v>
      </c>
      <c r="P18" s="142">
        <f t="shared" si="5"/>
        <v>14276.32271</v>
      </c>
      <c r="Q18" s="164">
        <f t="shared" si="6"/>
        <v>58935.588623333337</v>
      </c>
      <c r="R18" s="153">
        <f t="shared" si="7"/>
        <v>486119.13720000006</v>
      </c>
      <c r="S18" s="112">
        <f t="shared" ref="S18" si="24">+R18/6</f>
        <v>81019.856200000009</v>
      </c>
      <c r="T18" s="112">
        <f t="shared" si="11"/>
        <v>40509.928100000005</v>
      </c>
      <c r="U18" s="112">
        <f t="shared" si="8"/>
        <v>6751.6546833333341</v>
      </c>
      <c r="V18" s="154">
        <f t="shared" si="9"/>
        <v>33758.273416666671</v>
      </c>
    </row>
    <row r="19" spans="1:22" x14ac:dyDescent="0.25">
      <c r="A19" s="107">
        <v>3137</v>
      </c>
      <c r="B19" s="49" t="s">
        <v>42</v>
      </c>
      <c r="C19" s="36">
        <v>79062.976600000009</v>
      </c>
      <c r="D19" s="106">
        <f>+[1]Hoja1!C19</f>
        <v>79626.049079999997</v>
      </c>
      <c r="E19" s="117">
        <f t="shared" si="2"/>
        <v>158689.02568000002</v>
      </c>
      <c r="F19" s="118">
        <v>150457.95000000001</v>
      </c>
      <c r="G19" s="118">
        <v>48255.85</v>
      </c>
      <c r="H19" s="118">
        <v>58986.67</v>
      </c>
      <c r="I19" s="118">
        <v>50499.68</v>
      </c>
      <c r="J19" s="130">
        <v>51566.75</v>
      </c>
      <c r="K19" s="140">
        <f>+E19</f>
        <v>158689.02568000002</v>
      </c>
      <c r="L19" s="141">
        <f t="shared" si="1"/>
        <v>79344.51284000001</v>
      </c>
      <c r="M19" s="142">
        <f t="shared" si="3"/>
        <v>13224.085473333334</v>
      </c>
      <c r="N19" s="142">
        <v>6</v>
      </c>
      <c r="O19" s="148">
        <f t="shared" si="4"/>
        <v>79344.51284000001</v>
      </c>
      <c r="P19" s="142">
        <f t="shared" si="5"/>
        <v>15472.180003800002</v>
      </c>
      <c r="Q19" s="164">
        <f t="shared" si="6"/>
        <v>63872.33283620001</v>
      </c>
      <c r="R19" s="153">
        <f t="shared" si="7"/>
        <v>518455.92567999999</v>
      </c>
      <c r="S19" s="112">
        <f t="shared" ref="S19" si="25">+R19/N19</f>
        <v>86409.320946666659</v>
      </c>
      <c r="T19" s="112">
        <f t="shared" si="11"/>
        <v>43204.66047333333</v>
      </c>
      <c r="U19" s="112">
        <f t="shared" si="8"/>
        <v>7200.776745555555</v>
      </c>
      <c r="V19" s="154">
        <f t="shared" si="9"/>
        <v>43204.66047333333</v>
      </c>
    </row>
    <row r="20" spans="1:22" x14ac:dyDescent="0.25">
      <c r="A20" s="107">
        <v>3142</v>
      </c>
      <c r="B20" s="49" t="s">
        <v>54</v>
      </c>
      <c r="C20" s="36">
        <v>74329.314040000012</v>
      </c>
      <c r="D20" s="106">
        <f>+[1]Hoja1!C20</f>
        <v>63115.500799999994</v>
      </c>
      <c r="E20" s="117">
        <f t="shared" si="2"/>
        <v>137444.81484000001</v>
      </c>
      <c r="F20" s="118">
        <v>144017</v>
      </c>
      <c r="G20" s="118">
        <v>53928.41</v>
      </c>
      <c r="H20" s="118">
        <v>58986.67</v>
      </c>
      <c r="I20" s="118">
        <v>55310.879999999997</v>
      </c>
      <c r="J20" s="130">
        <v>0</v>
      </c>
      <c r="K20" s="140">
        <f>+F20</f>
        <v>144017</v>
      </c>
      <c r="L20" s="141">
        <f t="shared" si="1"/>
        <v>72008.5</v>
      </c>
      <c r="M20" s="142">
        <f t="shared" si="3"/>
        <v>12001.416666666666</v>
      </c>
      <c r="N20" s="142">
        <v>5</v>
      </c>
      <c r="O20" s="148">
        <f t="shared" si="4"/>
        <v>60007.083333333328</v>
      </c>
      <c r="P20" s="142">
        <f t="shared" si="5"/>
        <v>11701.381249999999</v>
      </c>
      <c r="Q20" s="164">
        <f t="shared" si="6"/>
        <v>48305.70208333333</v>
      </c>
      <c r="R20" s="153">
        <f t="shared" si="7"/>
        <v>449687.77484000003</v>
      </c>
      <c r="S20" s="112">
        <f t="shared" ref="S20" si="26">+R20/6</f>
        <v>74947.962473333333</v>
      </c>
      <c r="T20" s="112">
        <f t="shared" si="11"/>
        <v>37473.981236666667</v>
      </c>
      <c r="U20" s="112">
        <f t="shared" si="8"/>
        <v>6245.6635394444447</v>
      </c>
      <c r="V20" s="154">
        <f t="shared" si="9"/>
        <v>31228.317697222225</v>
      </c>
    </row>
    <row r="21" spans="1:22" x14ac:dyDescent="0.25">
      <c r="A21" s="107">
        <v>3148</v>
      </c>
      <c r="B21" s="49" t="s">
        <v>56</v>
      </c>
      <c r="C21" s="36">
        <v>89739.618800000011</v>
      </c>
      <c r="D21" s="106">
        <f>+[1]Hoja1!C21</f>
        <v>94311.60530000001</v>
      </c>
      <c r="E21" s="117">
        <f t="shared" si="2"/>
        <v>184051.22410000002</v>
      </c>
      <c r="F21" s="118">
        <v>177706.57</v>
      </c>
      <c r="G21" s="118">
        <v>59231.29</v>
      </c>
      <c r="H21" s="118">
        <v>61486.19</v>
      </c>
      <c r="I21" s="118">
        <v>54659.55</v>
      </c>
      <c r="J21" s="130">
        <v>56562.84</v>
      </c>
      <c r="K21" s="140">
        <f>+E21</f>
        <v>184051.22410000002</v>
      </c>
      <c r="L21" s="141">
        <f t="shared" si="1"/>
        <v>92025.612050000011</v>
      </c>
      <c r="M21" s="142">
        <f t="shared" si="3"/>
        <v>15337.602008333335</v>
      </c>
      <c r="N21" s="142">
        <v>6</v>
      </c>
      <c r="O21" s="148">
        <f t="shared" si="4"/>
        <v>92025.612050000011</v>
      </c>
      <c r="P21" s="142">
        <f t="shared" si="5"/>
        <v>17944.994349750003</v>
      </c>
      <c r="Q21" s="164">
        <f t="shared" si="6"/>
        <v>74080.617700250004</v>
      </c>
      <c r="R21" s="153">
        <f t="shared" si="7"/>
        <v>593697.66410000005</v>
      </c>
      <c r="S21" s="112">
        <f t="shared" ref="S21" si="27">+R21/N21</f>
        <v>98949.610683333347</v>
      </c>
      <c r="T21" s="112">
        <f t="shared" si="11"/>
        <v>49474.805341666673</v>
      </c>
      <c r="U21" s="112">
        <f t="shared" si="8"/>
        <v>8245.8008902777783</v>
      </c>
      <c r="V21" s="154">
        <f t="shared" si="9"/>
        <v>49474.805341666666</v>
      </c>
    </row>
    <row r="22" spans="1:22" x14ac:dyDescent="0.25">
      <c r="A22" s="107">
        <v>3149</v>
      </c>
      <c r="B22" s="49" t="s">
        <v>43</v>
      </c>
      <c r="C22" s="36">
        <v>86163.470440000019</v>
      </c>
      <c r="D22" s="106">
        <f>+[1]Hoja1!C22</f>
        <v>65704.99192</v>
      </c>
      <c r="E22" s="117">
        <f t="shared" si="2"/>
        <v>151868.46236</v>
      </c>
      <c r="F22" s="118">
        <v>130843.52</v>
      </c>
      <c r="G22" s="118">
        <v>52297.55</v>
      </c>
      <c r="H22" s="118">
        <v>60475.72</v>
      </c>
      <c r="I22" s="118">
        <v>55310.879999999997</v>
      </c>
      <c r="J22" s="130">
        <v>4663.45</v>
      </c>
      <c r="K22" s="140">
        <f>+E22</f>
        <v>151868.46236</v>
      </c>
      <c r="L22" s="141">
        <f t="shared" si="1"/>
        <v>75934.231180000002</v>
      </c>
      <c r="M22" s="142">
        <f t="shared" si="3"/>
        <v>12655.705196666668</v>
      </c>
      <c r="N22" s="142">
        <v>6</v>
      </c>
      <c r="O22" s="148">
        <f t="shared" si="4"/>
        <v>75934.231180000002</v>
      </c>
      <c r="P22" s="142">
        <f t="shared" si="5"/>
        <v>14807.175080100002</v>
      </c>
      <c r="Q22" s="164">
        <f t="shared" si="6"/>
        <v>61127.056099900001</v>
      </c>
      <c r="R22" s="153">
        <f t="shared" si="7"/>
        <v>455459.58236000006</v>
      </c>
      <c r="S22" s="112">
        <f t="shared" ref="S22" si="28">+R22/6</f>
        <v>75909.930393333343</v>
      </c>
      <c r="T22" s="112">
        <f t="shared" si="11"/>
        <v>37954.965196666672</v>
      </c>
      <c r="U22" s="112">
        <f t="shared" si="8"/>
        <v>6325.8275327777783</v>
      </c>
      <c r="V22" s="154">
        <f t="shared" si="9"/>
        <v>37954.965196666672</v>
      </c>
    </row>
    <row r="23" spans="1:22" x14ac:dyDescent="0.25">
      <c r="A23" s="107">
        <v>3152</v>
      </c>
      <c r="B23" s="49" t="s">
        <v>34</v>
      </c>
      <c r="C23" s="36">
        <v>45441.340759999999</v>
      </c>
      <c r="D23" s="106">
        <f>+[1]Hoja1!C23</f>
        <v>91911.948040000003</v>
      </c>
      <c r="E23" s="117">
        <f t="shared" si="2"/>
        <v>137353.28880000001</v>
      </c>
      <c r="F23" s="118">
        <v>165164.53</v>
      </c>
      <c r="G23" s="118">
        <v>39747.01</v>
      </c>
      <c r="H23" s="118">
        <v>0</v>
      </c>
      <c r="I23" s="118">
        <v>0</v>
      </c>
      <c r="J23" s="130">
        <v>0</v>
      </c>
      <c r="K23" s="140">
        <f>+F23</f>
        <v>165164.53</v>
      </c>
      <c r="L23" s="141">
        <f t="shared" si="1"/>
        <v>82582.264999999999</v>
      </c>
      <c r="M23" s="142">
        <f t="shared" si="3"/>
        <v>13763.710833333333</v>
      </c>
      <c r="N23" s="142">
        <v>3</v>
      </c>
      <c r="O23" s="148">
        <f t="shared" si="4"/>
        <v>41291.1325</v>
      </c>
      <c r="P23" s="142">
        <f t="shared" si="5"/>
        <v>8051.7708375000002</v>
      </c>
      <c r="Q23" s="164">
        <f t="shared" si="6"/>
        <v>33239.3616625</v>
      </c>
      <c r="R23" s="153">
        <f t="shared" si="7"/>
        <v>342264.82880000002</v>
      </c>
      <c r="S23" s="112">
        <f t="shared" ref="S23" si="29">+R23/N23</f>
        <v>114088.27626666667</v>
      </c>
      <c r="T23" s="112">
        <f t="shared" si="11"/>
        <v>57044.138133333334</v>
      </c>
      <c r="U23" s="112">
        <f t="shared" si="8"/>
        <v>9507.3563555555556</v>
      </c>
      <c r="V23" s="154">
        <f t="shared" si="9"/>
        <v>28522.069066666667</v>
      </c>
    </row>
    <row r="24" spans="1:22" x14ac:dyDescent="0.25">
      <c r="A24" s="107">
        <v>3154</v>
      </c>
      <c r="B24" s="49" t="s">
        <v>36</v>
      </c>
      <c r="C24" s="36">
        <v>73264.131200000018</v>
      </c>
      <c r="D24" s="106">
        <f>+[1]Hoja1!C24</f>
        <v>93361.096400000009</v>
      </c>
      <c r="E24" s="117">
        <f t="shared" si="2"/>
        <v>166625.22760000004</v>
      </c>
      <c r="F24" s="118">
        <v>119918.68</v>
      </c>
      <c r="G24" s="118">
        <v>61456.21</v>
      </c>
      <c r="H24" s="118">
        <v>63091.41</v>
      </c>
      <c r="I24" s="118">
        <v>59158.49</v>
      </c>
      <c r="J24" s="130">
        <v>57479.16</v>
      </c>
      <c r="K24" s="140">
        <f>+E24</f>
        <v>166625.22760000004</v>
      </c>
      <c r="L24" s="141">
        <f t="shared" si="1"/>
        <v>83312.613800000021</v>
      </c>
      <c r="M24" s="142">
        <f t="shared" si="3"/>
        <v>13885.435633333336</v>
      </c>
      <c r="N24" s="142">
        <v>6</v>
      </c>
      <c r="O24" s="148">
        <f t="shared" si="4"/>
        <v>83312.613800000021</v>
      </c>
      <c r="P24" s="142">
        <f t="shared" si="5"/>
        <v>16245.959691000005</v>
      </c>
      <c r="Q24" s="164">
        <f t="shared" si="6"/>
        <v>67066.65410900001</v>
      </c>
      <c r="R24" s="153">
        <f t="shared" si="7"/>
        <v>527729.17760000005</v>
      </c>
      <c r="S24" s="112">
        <f t="shared" ref="S24" si="30">+R24/6</f>
        <v>87954.862933333337</v>
      </c>
      <c r="T24" s="112">
        <f t="shared" si="11"/>
        <v>43977.431466666669</v>
      </c>
      <c r="U24" s="112">
        <f t="shared" si="8"/>
        <v>7329.5719111111111</v>
      </c>
      <c r="V24" s="154">
        <f t="shared" si="9"/>
        <v>43977.431466666669</v>
      </c>
    </row>
    <row r="25" spans="1:22" x14ac:dyDescent="0.25">
      <c r="A25" s="107">
        <v>3162</v>
      </c>
      <c r="B25" s="49" t="s">
        <v>57</v>
      </c>
      <c r="C25" s="36">
        <v>78632.376020000011</v>
      </c>
      <c r="D25" s="106">
        <f>+[1]Hoja1!C25</f>
        <v>92728.724279999995</v>
      </c>
      <c r="E25" s="117">
        <f t="shared" si="2"/>
        <v>171361.10029999999</v>
      </c>
      <c r="F25" s="118">
        <v>167191.43</v>
      </c>
      <c r="G25" s="118">
        <v>33423.78</v>
      </c>
      <c r="H25" s="118">
        <v>0</v>
      </c>
      <c r="I25" s="118">
        <v>0</v>
      </c>
      <c r="J25" s="130">
        <v>0</v>
      </c>
      <c r="K25" s="140">
        <f>+E25</f>
        <v>171361.10029999999</v>
      </c>
      <c r="L25" s="141">
        <f t="shared" si="1"/>
        <v>85680.550149999995</v>
      </c>
      <c r="M25" s="142">
        <f t="shared" si="3"/>
        <v>14280.091691666667</v>
      </c>
      <c r="N25" s="142">
        <v>3</v>
      </c>
      <c r="O25" s="148">
        <f t="shared" si="4"/>
        <v>42840.275074999998</v>
      </c>
      <c r="P25" s="142">
        <f t="shared" si="5"/>
        <v>8353.8536396250001</v>
      </c>
      <c r="Q25" s="164">
        <f t="shared" si="6"/>
        <v>34486.421435374999</v>
      </c>
      <c r="R25" s="153">
        <f t="shared" si="7"/>
        <v>371976.31030000001</v>
      </c>
      <c r="S25" s="112">
        <f t="shared" ref="S25" si="31">+R25/N25</f>
        <v>123992.10343333334</v>
      </c>
      <c r="T25" s="112">
        <f t="shared" si="11"/>
        <v>61996.051716666669</v>
      </c>
      <c r="U25" s="112">
        <f t="shared" si="8"/>
        <v>10332.675286111111</v>
      </c>
      <c r="V25" s="154">
        <f t="shared" si="9"/>
        <v>30998.025858333334</v>
      </c>
    </row>
    <row r="26" spans="1:22" x14ac:dyDescent="0.25">
      <c r="A26" s="107">
        <v>3165</v>
      </c>
      <c r="B26" s="49" t="s">
        <v>58</v>
      </c>
      <c r="C26" s="36">
        <v>73741.620520000011</v>
      </c>
      <c r="D26" s="106">
        <f>+[1]Hoja1!C26</f>
        <v>91163.682520000002</v>
      </c>
      <c r="E26" s="117">
        <f t="shared" si="2"/>
        <v>164905.30304000003</v>
      </c>
      <c r="F26" s="118">
        <v>156954.04999999999</v>
      </c>
      <c r="G26" s="118">
        <v>36940.03</v>
      </c>
      <c r="H26" s="118">
        <v>0</v>
      </c>
      <c r="I26" s="118">
        <v>0</v>
      </c>
      <c r="J26" s="130">
        <v>0</v>
      </c>
      <c r="K26" s="140">
        <f>+E26</f>
        <v>164905.30304000003</v>
      </c>
      <c r="L26" s="141">
        <f t="shared" si="1"/>
        <v>82452.651520000014</v>
      </c>
      <c r="M26" s="142">
        <f t="shared" si="3"/>
        <v>13742.108586666669</v>
      </c>
      <c r="N26" s="142">
        <v>3</v>
      </c>
      <c r="O26" s="148">
        <f t="shared" si="4"/>
        <v>41226.325760000007</v>
      </c>
      <c r="P26" s="142">
        <f t="shared" si="5"/>
        <v>8039.1335232000019</v>
      </c>
      <c r="Q26" s="164">
        <f t="shared" si="6"/>
        <v>33187.192236800009</v>
      </c>
      <c r="R26" s="153">
        <f t="shared" si="7"/>
        <v>358799.38303999999</v>
      </c>
      <c r="S26" s="112">
        <f t="shared" ref="S26" si="32">+R26/6</f>
        <v>59799.897173333331</v>
      </c>
      <c r="T26" s="112">
        <f t="shared" si="11"/>
        <v>29899.948586666666</v>
      </c>
      <c r="U26" s="112">
        <f t="shared" si="8"/>
        <v>4983.3247644444446</v>
      </c>
      <c r="V26" s="154">
        <f t="shared" si="9"/>
        <v>14949.974293333333</v>
      </c>
    </row>
    <row r="27" spans="1:22" x14ac:dyDescent="0.25">
      <c r="A27" s="107">
        <v>3167</v>
      </c>
      <c r="B27" s="49" t="s">
        <v>44</v>
      </c>
      <c r="C27" s="36">
        <v>66405.487270000012</v>
      </c>
      <c r="D27" s="106">
        <f>+[1]Hoja1!C27</f>
        <v>77469.567119999992</v>
      </c>
      <c r="E27" s="117">
        <f t="shared" si="2"/>
        <v>143875.05439</v>
      </c>
      <c r="F27" s="118">
        <v>142733.96</v>
      </c>
      <c r="G27" s="118">
        <v>52622.5</v>
      </c>
      <c r="H27" s="118">
        <v>58515.25</v>
      </c>
      <c r="I27" s="118">
        <v>54881.53</v>
      </c>
      <c r="J27" s="130">
        <v>0</v>
      </c>
      <c r="K27" s="140">
        <f>+E27</f>
        <v>143875.05439</v>
      </c>
      <c r="L27" s="141">
        <f t="shared" si="1"/>
        <v>71937.527195000002</v>
      </c>
      <c r="M27" s="142">
        <f t="shared" si="3"/>
        <v>11989.587865833333</v>
      </c>
      <c r="N27" s="142">
        <v>5</v>
      </c>
      <c r="O27" s="148">
        <f t="shared" si="4"/>
        <v>59947.939329166664</v>
      </c>
      <c r="P27" s="142">
        <f t="shared" si="5"/>
        <v>11689.8481691875</v>
      </c>
      <c r="Q27" s="164">
        <f t="shared" si="6"/>
        <v>48258.091159979165</v>
      </c>
      <c r="R27" s="153">
        <f t="shared" si="7"/>
        <v>452628.29439000005</v>
      </c>
      <c r="S27" s="112">
        <f t="shared" ref="S27" si="33">+R27/N27</f>
        <v>90525.658878000017</v>
      </c>
      <c r="T27" s="112">
        <f t="shared" si="11"/>
        <v>45262.829439000008</v>
      </c>
      <c r="U27" s="112">
        <f t="shared" si="8"/>
        <v>7543.8049065000014</v>
      </c>
      <c r="V27" s="154">
        <f t="shared" si="9"/>
        <v>37719.024532500007</v>
      </c>
    </row>
    <row r="28" spans="1:22" x14ac:dyDescent="0.25">
      <c r="A28" s="107">
        <v>3168</v>
      </c>
      <c r="B28" s="49" t="s">
        <v>59</v>
      </c>
      <c r="C28" s="36">
        <v>39608.084800000004</v>
      </c>
      <c r="D28" s="106">
        <f>+[1]Hoja1!C28</f>
        <v>29810.399999999998</v>
      </c>
      <c r="E28" s="117">
        <f t="shared" si="2"/>
        <v>69418.484800000006</v>
      </c>
      <c r="F28" s="118">
        <v>88121.279999999999</v>
      </c>
      <c r="G28" s="118">
        <v>33349.230000000003</v>
      </c>
      <c r="H28" s="118">
        <v>0</v>
      </c>
      <c r="I28" s="118">
        <v>0</v>
      </c>
      <c r="J28" s="130">
        <v>0</v>
      </c>
      <c r="K28" s="140">
        <f>+F28</f>
        <v>88121.279999999999</v>
      </c>
      <c r="L28" s="141">
        <f t="shared" si="1"/>
        <v>44060.639999999999</v>
      </c>
      <c r="M28" s="142">
        <f t="shared" si="3"/>
        <v>7343.44</v>
      </c>
      <c r="N28" s="142">
        <v>3</v>
      </c>
      <c r="O28" s="148">
        <f t="shared" si="4"/>
        <v>22030.32</v>
      </c>
      <c r="P28" s="142">
        <f t="shared" si="5"/>
        <v>4295.9124000000002</v>
      </c>
      <c r="Q28" s="164">
        <f t="shared" si="6"/>
        <v>17734.407599999999</v>
      </c>
      <c r="R28" s="153">
        <f t="shared" si="7"/>
        <v>190888.99480000001</v>
      </c>
      <c r="S28" s="112">
        <f t="shared" ref="S28" si="34">+R28/6</f>
        <v>31814.83246666667</v>
      </c>
      <c r="T28" s="112">
        <f t="shared" si="11"/>
        <v>15907.416233333335</v>
      </c>
      <c r="U28" s="112">
        <f t="shared" si="8"/>
        <v>2651.2360388888892</v>
      </c>
      <c r="V28" s="154">
        <f t="shared" si="9"/>
        <v>7953.7081166666676</v>
      </c>
    </row>
    <row r="29" spans="1:22" x14ac:dyDescent="0.25">
      <c r="A29" s="107">
        <v>3170</v>
      </c>
      <c r="B29" s="49" t="s">
        <v>60</v>
      </c>
      <c r="C29" s="36">
        <v>72408.219499999992</v>
      </c>
      <c r="D29" s="106">
        <f>+[1]Hoja1!C29</f>
        <v>63409.204999999994</v>
      </c>
      <c r="E29" s="117">
        <f t="shared" si="2"/>
        <v>135817.42449999999</v>
      </c>
      <c r="F29" s="118">
        <v>87591.3</v>
      </c>
      <c r="G29" s="118">
        <v>31014.17</v>
      </c>
      <c r="H29" s="118">
        <v>0</v>
      </c>
      <c r="I29" s="118">
        <v>0</v>
      </c>
      <c r="J29" s="130">
        <v>0</v>
      </c>
      <c r="K29" s="140">
        <f>+E29</f>
        <v>135817.42449999999</v>
      </c>
      <c r="L29" s="141">
        <f t="shared" si="1"/>
        <v>67908.712249999997</v>
      </c>
      <c r="M29" s="142">
        <f t="shared" si="3"/>
        <v>11318.118708333333</v>
      </c>
      <c r="N29" s="142">
        <v>3</v>
      </c>
      <c r="O29" s="148">
        <f t="shared" si="4"/>
        <v>33954.356124999998</v>
      </c>
      <c r="P29" s="142">
        <f t="shared" si="5"/>
        <v>6621.0994443749996</v>
      </c>
      <c r="Q29" s="164">
        <f t="shared" si="6"/>
        <v>27333.256680625</v>
      </c>
      <c r="R29" s="153">
        <f t="shared" si="7"/>
        <v>254422.89449999999</v>
      </c>
      <c r="S29" s="112">
        <f t="shared" ref="S29" si="35">+R29/N29</f>
        <v>84807.631500000003</v>
      </c>
      <c r="T29" s="112">
        <f t="shared" si="11"/>
        <v>42403.815750000002</v>
      </c>
      <c r="U29" s="112">
        <f t="shared" si="8"/>
        <v>7067.3026250000003</v>
      </c>
      <c r="V29" s="154">
        <f t="shared" si="9"/>
        <v>21201.907875000001</v>
      </c>
    </row>
    <row r="30" spans="1:22" x14ac:dyDescent="0.25">
      <c r="A30" s="107">
        <v>3171</v>
      </c>
      <c r="B30" s="49" t="s">
        <v>61</v>
      </c>
      <c r="C30" s="36">
        <v>73153.927000000011</v>
      </c>
      <c r="D30" s="106">
        <f>+[1]Hoja1!C30</f>
        <v>35794.175000000003</v>
      </c>
      <c r="E30" s="117">
        <f t="shared" si="2"/>
        <v>108948.10200000001</v>
      </c>
      <c r="F30" s="118">
        <v>135654.57</v>
      </c>
      <c r="G30" s="118">
        <v>34732.89</v>
      </c>
      <c r="H30" s="118">
        <v>0</v>
      </c>
      <c r="I30" s="118">
        <v>0</v>
      </c>
      <c r="J30" s="130">
        <v>0</v>
      </c>
      <c r="K30" s="140">
        <f>+F30</f>
        <v>135654.57</v>
      </c>
      <c r="L30" s="141">
        <f t="shared" si="1"/>
        <v>67827.285000000003</v>
      </c>
      <c r="M30" s="142">
        <f t="shared" si="3"/>
        <v>11304.547500000001</v>
      </c>
      <c r="N30" s="142">
        <v>3</v>
      </c>
      <c r="O30" s="148">
        <f t="shared" si="4"/>
        <v>33913.642500000002</v>
      </c>
      <c r="P30" s="142">
        <f t="shared" si="5"/>
        <v>6613.1602875000008</v>
      </c>
      <c r="Q30" s="164">
        <f t="shared" si="6"/>
        <v>27300.482212499999</v>
      </c>
      <c r="R30" s="153">
        <f t="shared" si="7"/>
        <v>279335.56200000003</v>
      </c>
      <c r="S30" s="112">
        <f t="shared" ref="S30" si="36">+R30/6</f>
        <v>46555.927000000003</v>
      </c>
      <c r="T30" s="112">
        <f t="shared" si="11"/>
        <v>23277.963500000002</v>
      </c>
      <c r="U30" s="112">
        <f t="shared" si="8"/>
        <v>3879.6605833333338</v>
      </c>
      <c r="V30" s="154">
        <f t="shared" si="9"/>
        <v>11638.981750000001</v>
      </c>
    </row>
    <row r="31" spans="1:22" x14ac:dyDescent="0.25">
      <c r="A31" s="107">
        <v>3172</v>
      </c>
      <c r="B31" s="49" t="s">
        <v>62</v>
      </c>
      <c r="C31" s="36">
        <v>70049.535000000003</v>
      </c>
      <c r="D31" s="106">
        <f>+[1]Hoja1!C31</f>
        <v>85758.828999999998</v>
      </c>
      <c r="E31" s="117">
        <f t="shared" si="2"/>
        <v>155808.364</v>
      </c>
      <c r="F31" s="118">
        <v>158762.21</v>
      </c>
      <c r="G31" s="118">
        <v>36685.69</v>
      </c>
      <c r="H31" s="118">
        <v>0</v>
      </c>
      <c r="I31" s="118">
        <v>0</v>
      </c>
      <c r="J31" s="130">
        <v>0</v>
      </c>
      <c r="K31" s="140">
        <f>+F31</f>
        <v>158762.21</v>
      </c>
      <c r="L31" s="141">
        <f t="shared" si="1"/>
        <v>79381.104999999996</v>
      </c>
      <c r="M31" s="142">
        <f t="shared" si="3"/>
        <v>13230.184166666666</v>
      </c>
      <c r="N31" s="142">
        <v>3</v>
      </c>
      <c r="O31" s="148">
        <f t="shared" si="4"/>
        <v>39690.552499999998</v>
      </c>
      <c r="P31" s="142">
        <f t="shared" si="5"/>
        <v>7739.6577374999997</v>
      </c>
      <c r="Q31" s="164">
        <f t="shared" si="6"/>
        <v>31950.8947625</v>
      </c>
      <c r="R31" s="153">
        <f t="shared" si="7"/>
        <v>351256.26400000002</v>
      </c>
      <c r="S31" s="112">
        <f t="shared" ref="S31" si="37">+R31/N31</f>
        <v>117085.42133333335</v>
      </c>
      <c r="T31" s="112">
        <f t="shared" si="11"/>
        <v>58542.710666666673</v>
      </c>
      <c r="U31" s="112">
        <f t="shared" si="8"/>
        <v>9757.1184444444461</v>
      </c>
      <c r="V31" s="154">
        <f t="shared" si="9"/>
        <v>29271.35533333334</v>
      </c>
    </row>
    <row r="32" spans="1:22" x14ac:dyDescent="0.25">
      <c r="A32" s="107">
        <v>3175</v>
      </c>
      <c r="B32" s="49" t="s">
        <v>63</v>
      </c>
      <c r="C32" s="36">
        <v>73153.927000000011</v>
      </c>
      <c r="D32" s="106">
        <f>+[1]Hoja1!C32</f>
        <v>86437.914750000011</v>
      </c>
      <c r="E32" s="117">
        <f t="shared" si="2"/>
        <v>159591.84175000002</v>
      </c>
      <c r="F32" s="118">
        <v>155952.57999999999</v>
      </c>
      <c r="G32" s="118">
        <v>40050.14</v>
      </c>
      <c r="H32" s="118">
        <v>60252.04</v>
      </c>
      <c r="I32" s="118">
        <v>54022.83</v>
      </c>
      <c r="J32" s="130">
        <v>8299.32</v>
      </c>
      <c r="K32" s="140">
        <f>+E32</f>
        <v>159591.84175000002</v>
      </c>
      <c r="L32" s="141">
        <f t="shared" si="1"/>
        <v>79795.920875000011</v>
      </c>
      <c r="M32" s="142">
        <f t="shared" si="3"/>
        <v>13299.320145833335</v>
      </c>
      <c r="N32" s="142">
        <v>6</v>
      </c>
      <c r="O32" s="148">
        <f t="shared" si="4"/>
        <v>79795.920875000011</v>
      </c>
      <c r="P32" s="142">
        <f t="shared" si="5"/>
        <v>15560.204570625003</v>
      </c>
      <c r="Q32" s="164">
        <f t="shared" si="6"/>
        <v>64235.716304375004</v>
      </c>
      <c r="R32" s="153">
        <f t="shared" si="7"/>
        <v>478168.75175</v>
      </c>
      <c r="S32" s="112">
        <f t="shared" ref="S32" si="38">+R32/6</f>
        <v>79694.791958333328</v>
      </c>
      <c r="T32" s="112">
        <f t="shared" si="11"/>
        <v>39847.395979166664</v>
      </c>
      <c r="U32" s="112">
        <f t="shared" si="8"/>
        <v>6641.2326631944443</v>
      </c>
      <c r="V32" s="154">
        <f t="shared" si="9"/>
        <v>39847.395979166664</v>
      </c>
    </row>
    <row r="33" spans="1:22" x14ac:dyDescent="0.25">
      <c r="A33" s="107">
        <v>3179</v>
      </c>
      <c r="B33" s="49" t="s">
        <v>64</v>
      </c>
      <c r="C33" s="36">
        <v>72408.219499999992</v>
      </c>
      <c r="D33" s="106">
        <f>+[1]Hoja1!C33</f>
        <v>67383.924999999988</v>
      </c>
      <c r="E33" s="117">
        <f t="shared" si="2"/>
        <v>139792.14449999999</v>
      </c>
      <c r="F33" s="118">
        <v>89852.38</v>
      </c>
      <c r="G33" s="118">
        <v>30883.31</v>
      </c>
      <c r="H33" s="118">
        <v>0</v>
      </c>
      <c r="I33" s="118">
        <v>0</v>
      </c>
      <c r="J33" s="130">
        <v>0</v>
      </c>
      <c r="K33" s="140">
        <f>+E33</f>
        <v>139792.14449999999</v>
      </c>
      <c r="L33" s="141">
        <f t="shared" si="1"/>
        <v>69896.072249999997</v>
      </c>
      <c r="M33" s="142">
        <f t="shared" si="3"/>
        <v>11649.345374999999</v>
      </c>
      <c r="N33" s="142">
        <v>3</v>
      </c>
      <c r="O33" s="148">
        <f t="shared" si="4"/>
        <v>34948.036124999999</v>
      </c>
      <c r="P33" s="142">
        <f t="shared" si="5"/>
        <v>6814.8670443749998</v>
      </c>
      <c r="Q33" s="164">
        <f t="shared" si="6"/>
        <v>28133.169080624997</v>
      </c>
      <c r="R33" s="153">
        <f t="shared" si="7"/>
        <v>260527.8345</v>
      </c>
      <c r="S33" s="112">
        <f t="shared" ref="S33" si="39">+R33/N33</f>
        <v>86842.611499999999</v>
      </c>
      <c r="T33" s="112">
        <f t="shared" si="11"/>
        <v>43421.30575</v>
      </c>
      <c r="U33" s="112">
        <f t="shared" si="8"/>
        <v>7236.8842916666663</v>
      </c>
      <c r="V33" s="154">
        <f t="shared" si="9"/>
        <v>21710.652875</v>
      </c>
    </row>
    <row r="34" spans="1:22" x14ac:dyDescent="0.25">
      <c r="A34" s="107">
        <v>3189</v>
      </c>
      <c r="B34" s="49" t="s">
        <v>37</v>
      </c>
      <c r="C34" s="36">
        <v>48683.595600000001</v>
      </c>
      <c r="D34" s="106">
        <f>+[1]Hoja1!C34</f>
        <v>32099.200000000004</v>
      </c>
      <c r="E34" s="117">
        <f t="shared" si="2"/>
        <v>80782.795600000012</v>
      </c>
      <c r="F34" s="118">
        <v>111212.81</v>
      </c>
      <c r="G34" s="118">
        <v>58421.63</v>
      </c>
      <c r="H34" s="118">
        <v>60839</v>
      </c>
      <c r="I34" s="118">
        <v>57781</v>
      </c>
      <c r="J34" s="130">
        <v>55808.79</v>
      </c>
      <c r="K34" s="140">
        <f>+F34</f>
        <v>111212.81</v>
      </c>
      <c r="L34" s="141">
        <f t="shared" si="1"/>
        <v>55606.404999999999</v>
      </c>
      <c r="M34" s="142">
        <f t="shared" si="3"/>
        <v>9267.7341666666671</v>
      </c>
      <c r="N34" s="142">
        <v>6</v>
      </c>
      <c r="O34" s="148">
        <f t="shared" si="4"/>
        <v>55606.404999999999</v>
      </c>
      <c r="P34" s="142">
        <f t="shared" si="5"/>
        <v>10843.248975</v>
      </c>
      <c r="Q34" s="164">
        <f t="shared" si="6"/>
        <v>44763.156024999997</v>
      </c>
      <c r="R34" s="153">
        <f t="shared" si="7"/>
        <v>424846.02559999999</v>
      </c>
      <c r="S34" s="112">
        <f t="shared" ref="S34" si="40">+R34/6</f>
        <v>70807.670933333327</v>
      </c>
      <c r="T34" s="112">
        <f t="shared" si="11"/>
        <v>35403.835466666664</v>
      </c>
      <c r="U34" s="112">
        <f t="shared" si="8"/>
        <v>5900.6392444444436</v>
      </c>
      <c r="V34" s="154">
        <f t="shared" si="9"/>
        <v>35403.835466666664</v>
      </c>
    </row>
    <row r="35" spans="1:22" x14ac:dyDescent="0.25">
      <c r="A35" s="107">
        <v>3191</v>
      </c>
      <c r="B35" s="49" t="s">
        <v>66</v>
      </c>
      <c r="C35" s="36">
        <v>80455.403460000016</v>
      </c>
      <c r="D35" s="106">
        <f>+[1]Hoja1!C35</f>
        <v>97171.483899999992</v>
      </c>
      <c r="E35" s="117">
        <f t="shared" si="2"/>
        <v>177626.88735999999</v>
      </c>
      <c r="F35" s="118">
        <v>114621.54</v>
      </c>
      <c r="G35" s="118">
        <v>52567.4</v>
      </c>
      <c r="H35" s="118">
        <v>57100.099000000002</v>
      </c>
      <c r="I35" s="118">
        <v>0</v>
      </c>
      <c r="J35" s="130">
        <v>0</v>
      </c>
      <c r="K35" s="140">
        <f>+E35</f>
        <v>177626.88735999999</v>
      </c>
      <c r="L35" s="141">
        <f t="shared" ref="L35:L56" si="41">+K35*50%</f>
        <v>88813.443679999997</v>
      </c>
      <c r="M35" s="142">
        <f t="shared" si="3"/>
        <v>14802.240613333333</v>
      </c>
      <c r="N35" s="142">
        <v>4</v>
      </c>
      <c r="O35" s="148">
        <f t="shared" si="4"/>
        <v>59208.962453333334</v>
      </c>
      <c r="P35" s="142">
        <f t="shared" si="5"/>
        <v>11545.747678400001</v>
      </c>
      <c r="Q35" s="164">
        <f t="shared" si="6"/>
        <v>47663.214774933331</v>
      </c>
      <c r="R35" s="153">
        <f t="shared" si="7"/>
        <v>401915.92635999998</v>
      </c>
      <c r="S35" s="112">
        <f t="shared" ref="S35" si="42">+R35/N35</f>
        <v>100478.98159</v>
      </c>
      <c r="T35" s="112">
        <f t="shared" si="11"/>
        <v>50239.490794999998</v>
      </c>
      <c r="U35" s="112">
        <f t="shared" si="8"/>
        <v>8373.2484658333324</v>
      </c>
      <c r="V35" s="154">
        <f t="shared" si="9"/>
        <v>33492.99386333333</v>
      </c>
    </row>
    <row r="36" spans="1:22" x14ac:dyDescent="0.25">
      <c r="A36" s="107">
        <v>3200</v>
      </c>
      <c r="B36" s="49" t="s">
        <v>67</v>
      </c>
      <c r="C36" s="36">
        <v>43577.367460000009</v>
      </c>
      <c r="D36" s="106">
        <f>+[1]Hoja1!C37</f>
        <v>85143.302999999985</v>
      </c>
      <c r="E36" s="117">
        <f t="shared" si="2"/>
        <v>128720.67045999999</v>
      </c>
      <c r="F36" s="118">
        <v>100626.13</v>
      </c>
      <c r="G36" s="118">
        <v>37051.19</v>
      </c>
      <c r="H36" s="118">
        <v>0</v>
      </c>
      <c r="I36" s="118">
        <v>0</v>
      </c>
      <c r="J36" s="130">
        <v>0</v>
      </c>
      <c r="K36" s="140">
        <f>+E36</f>
        <v>128720.67045999999</v>
      </c>
      <c r="L36" s="141">
        <f t="shared" si="41"/>
        <v>64360.335229999997</v>
      </c>
      <c r="M36" s="142">
        <f t="shared" si="3"/>
        <v>10726.722538333333</v>
      </c>
      <c r="N36" s="142">
        <v>3</v>
      </c>
      <c r="O36" s="148">
        <f t="shared" si="4"/>
        <v>32180.167614999998</v>
      </c>
      <c r="P36" s="142">
        <f t="shared" si="5"/>
        <v>6275.1326849249999</v>
      </c>
      <c r="Q36" s="164">
        <f t="shared" si="6"/>
        <v>25905.034930074999</v>
      </c>
      <c r="R36" s="153">
        <f t="shared" si="7"/>
        <v>266397.99046</v>
      </c>
      <c r="S36" s="112">
        <f t="shared" ref="S36" si="43">+R36/6</f>
        <v>44399.665076666664</v>
      </c>
      <c r="T36" s="112">
        <f t="shared" si="11"/>
        <v>22199.832538333332</v>
      </c>
      <c r="U36" s="112">
        <f t="shared" si="8"/>
        <v>3699.9720897222219</v>
      </c>
      <c r="V36" s="154">
        <f t="shared" si="9"/>
        <v>11099.916269166666</v>
      </c>
    </row>
    <row r="37" spans="1:22" x14ac:dyDescent="0.25">
      <c r="A37" s="107">
        <v>3201</v>
      </c>
      <c r="B37" s="49" t="s">
        <v>68</v>
      </c>
      <c r="C37" s="36">
        <v>70728.620750000002</v>
      </c>
      <c r="D37" s="106">
        <f>+[1]Hoja1!C38</f>
        <v>87508.394750000007</v>
      </c>
      <c r="E37" s="117">
        <f>+C37+D37</f>
        <v>158237.01550000001</v>
      </c>
      <c r="F37" s="118">
        <v>89768.57</v>
      </c>
      <c r="G37" s="118">
        <v>33381.71</v>
      </c>
      <c r="H37" s="118">
        <v>0</v>
      </c>
      <c r="I37" s="118">
        <v>0</v>
      </c>
      <c r="J37" s="130">
        <v>0</v>
      </c>
      <c r="K37" s="140">
        <f>+E37</f>
        <v>158237.01550000001</v>
      </c>
      <c r="L37" s="141">
        <f t="shared" si="41"/>
        <v>79118.507750000004</v>
      </c>
      <c r="M37" s="142">
        <f t="shared" si="3"/>
        <v>13186.417958333333</v>
      </c>
      <c r="N37" s="142">
        <v>3</v>
      </c>
      <c r="O37" s="148">
        <f t="shared" si="4"/>
        <v>39559.253875000002</v>
      </c>
      <c r="P37" s="142">
        <f t="shared" si="5"/>
        <v>7714.0545056250003</v>
      </c>
      <c r="Q37" s="164">
        <f t="shared" si="6"/>
        <v>31845.199369375001</v>
      </c>
      <c r="R37" s="153">
        <f t="shared" si="7"/>
        <v>281387.29550000001</v>
      </c>
      <c r="S37" s="112">
        <f t="shared" ref="S37" si="44">+R37/N37</f>
        <v>93795.765166666664</v>
      </c>
      <c r="T37" s="112">
        <f t="shared" si="11"/>
        <v>46897.882583333332</v>
      </c>
      <c r="U37" s="112">
        <f t="shared" si="8"/>
        <v>7816.3137638888884</v>
      </c>
      <c r="V37" s="154">
        <f t="shared" si="9"/>
        <v>23448.941291666666</v>
      </c>
    </row>
    <row r="38" spans="1:22" x14ac:dyDescent="0.25">
      <c r="A38" s="107">
        <v>3204</v>
      </c>
      <c r="B38" s="49" t="s">
        <v>69</v>
      </c>
      <c r="C38" s="36">
        <v>76121.029940000008</v>
      </c>
      <c r="D38" s="106">
        <f>+[1]Hoja1!C39</f>
        <v>85143.302999999985</v>
      </c>
      <c r="E38" s="117">
        <f t="shared" si="2"/>
        <v>161264.33293999999</v>
      </c>
      <c r="F38" s="118">
        <v>96346.58</v>
      </c>
      <c r="G38" s="118">
        <v>32297.61</v>
      </c>
      <c r="H38" s="118">
        <v>0</v>
      </c>
      <c r="I38" s="118">
        <v>0</v>
      </c>
      <c r="J38" s="130">
        <v>0</v>
      </c>
      <c r="K38" s="140">
        <f>+E38</f>
        <v>161264.33293999999</v>
      </c>
      <c r="L38" s="141">
        <f t="shared" si="41"/>
        <v>80632.166469999996</v>
      </c>
      <c r="M38" s="142">
        <f t="shared" si="3"/>
        <v>13438.694411666665</v>
      </c>
      <c r="N38" s="142">
        <v>3</v>
      </c>
      <c r="O38" s="148">
        <f t="shared" si="4"/>
        <v>40316.083234999998</v>
      </c>
      <c r="P38" s="142">
        <f t="shared" si="5"/>
        <v>7861.636230825</v>
      </c>
      <c r="Q38" s="164">
        <f t="shared" si="6"/>
        <v>32454.447004174999</v>
      </c>
      <c r="R38" s="153">
        <f t="shared" si="7"/>
        <v>289908.52294</v>
      </c>
      <c r="S38" s="112">
        <f t="shared" ref="S38" si="45">+R38/6</f>
        <v>48318.087156666668</v>
      </c>
      <c r="T38" s="112">
        <f t="shared" si="11"/>
        <v>24159.043578333334</v>
      </c>
      <c r="U38" s="112">
        <f t="shared" si="8"/>
        <v>4026.5072630555555</v>
      </c>
      <c r="V38" s="154">
        <f t="shared" si="9"/>
        <v>12079.521789166667</v>
      </c>
    </row>
    <row r="39" spans="1:22" x14ac:dyDescent="0.25">
      <c r="A39" s="107">
        <v>3205</v>
      </c>
      <c r="B39" s="49" t="s">
        <v>70</v>
      </c>
      <c r="C39" s="36">
        <v>81752.537800000006</v>
      </c>
      <c r="D39" s="106">
        <f>+[1]Hoja1!C40</f>
        <v>76312.13979999999</v>
      </c>
      <c r="E39" s="117">
        <f t="shared" si="2"/>
        <v>158064.6776</v>
      </c>
      <c r="F39" s="118">
        <v>85519.66</v>
      </c>
      <c r="G39" s="118">
        <v>35480.629999999997</v>
      </c>
      <c r="H39" s="118">
        <v>0</v>
      </c>
      <c r="I39" s="118">
        <v>0</v>
      </c>
      <c r="J39" s="130">
        <v>0</v>
      </c>
      <c r="K39" s="140">
        <f>+E39</f>
        <v>158064.6776</v>
      </c>
      <c r="L39" s="141">
        <f t="shared" si="41"/>
        <v>79032.338799999998</v>
      </c>
      <c r="M39" s="142">
        <f t="shared" si="3"/>
        <v>13172.056466666667</v>
      </c>
      <c r="N39" s="142">
        <v>3</v>
      </c>
      <c r="O39" s="148">
        <f t="shared" si="4"/>
        <v>39516.169399999999</v>
      </c>
      <c r="P39" s="142">
        <f t="shared" si="5"/>
        <v>7705.6530329999996</v>
      </c>
      <c r="Q39" s="164">
        <f t="shared" si="6"/>
        <v>31810.516367</v>
      </c>
      <c r="R39" s="153">
        <f t="shared" si="7"/>
        <v>279064.96759999997</v>
      </c>
      <c r="S39" s="112">
        <f t="shared" ref="S39" si="46">+R39/N39</f>
        <v>93021.655866666653</v>
      </c>
      <c r="T39" s="112">
        <f t="shared" si="11"/>
        <v>46510.827933333327</v>
      </c>
      <c r="U39" s="112">
        <f t="shared" si="8"/>
        <v>7751.8046555555547</v>
      </c>
      <c r="V39" s="154">
        <f t="shared" si="9"/>
        <v>23255.413966666663</v>
      </c>
    </row>
    <row r="40" spans="1:22" x14ac:dyDescent="0.25">
      <c r="A40" s="107">
        <v>3207</v>
      </c>
      <c r="B40" s="49" t="s">
        <v>38</v>
      </c>
      <c r="C40" s="36">
        <v>60457.553500000016</v>
      </c>
      <c r="D40" s="106">
        <f>+[1]Hoja1!C41</f>
        <v>50017.432000000008</v>
      </c>
      <c r="E40" s="117">
        <f t="shared" si="2"/>
        <v>110474.98550000002</v>
      </c>
      <c r="F40" s="118">
        <v>152862.82999999999</v>
      </c>
      <c r="G40" s="118">
        <v>55550.76</v>
      </c>
      <c r="H40" s="118">
        <v>58163.91</v>
      </c>
      <c r="I40" s="118">
        <v>53450.45</v>
      </c>
      <c r="J40" s="130">
        <v>37918.14</v>
      </c>
      <c r="K40" s="140">
        <f>+F40</f>
        <v>152862.82999999999</v>
      </c>
      <c r="L40" s="141">
        <f t="shared" si="41"/>
        <v>76431.414999999994</v>
      </c>
      <c r="M40" s="142">
        <f t="shared" si="3"/>
        <v>12738.569166666666</v>
      </c>
      <c r="N40" s="142">
        <v>6</v>
      </c>
      <c r="O40" s="148">
        <f t="shared" si="4"/>
        <v>76431.414999999994</v>
      </c>
      <c r="P40" s="142">
        <f t="shared" si="5"/>
        <v>14904.125924999998</v>
      </c>
      <c r="Q40" s="164">
        <f t="shared" si="6"/>
        <v>61527.289074999993</v>
      </c>
      <c r="R40" s="153">
        <f t="shared" si="7"/>
        <v>468421.07550000009</v>
      </c>
      <c r="S40" s="112">
        <f t="shared" ref="S40" si="47">+R40/6</f>
        <v>78070.179250000016</v>
      </c>
      <c r="T40" s="112">
        <f t="shared" si="11"/>
        <v>39035.089625000008</v>
      </c>
      <c r="U40" s="112">
        <f t="shared" si="8"/>
        <v>6505.8482708333349</v>
      </c>
      <c r="V40" s="154">
        <f t="shared" si="9"/>
        <v>39035.089625000008</v>
      </c>
    </row>
    <row r="41" spans="1:22" x14ac:dyDescent="0.25">
      <c r="A41" s="107">
        <v>3209</v>
      </c>
      <c r="B41" s="49" t="s">
        <v>71</v>
      </c>
      <c r="C41" s="36">
        <v>76167.328200000004</v>
      </c>
      <c r="D41" s="106">
        <f>+[1]Hoja1!C42</f>
        <v>49399.9758</v>
      </c>
      <c r="E41" s="117">
        <f t="shared" si="2"/>
        <v>125567.304</v>
      </c>
      <c r="F41" s="118">
        <v>106919.07</v>
      </c>
      <c r="G41" s="118">
        <v>33943.699999999997</v>
      </c>
      <c r="H41" s="118">
        <v>0</v>
      </c>
      <c r="I41" s="118">
        <v>0</v>
      </c>
      <c r="J41" s="130">
        <v>0</v>
      </c>
      <c r="K41" s="140">
        <f>+E41</f>
        <v>125567.304</v>
      </c>
      <c r="L41" s="141">
        <f t="shared" si="41"/>
        <v>62783.652000000002</v>
      </c>
      <c r="M41" s="142">
        <f t="shared" si="3"/>
        <v>10463.942000000001</v>
      </c>
      <c r="N41" s="142">
        <v>3</v>
      </c>
      <c r="O41" s="148">
        <f t="shared" si="4"/>
        <v>31391.826000000001</v>
      </c>
      <c r="P41" s="142">
        <f t="shared" si="5"/>
        <v>6121.40607</v>
      </c>
      <c r="Q41" s="164">
        <f t="shared" si="6"/>
        <v>25270.41993</v>
      </c>
      <c r="R41" s="153">
        <f t="shared" si="7"/>
        <v>266430.07400000002</v>
      </c>
      <c r="S41" s="112">
        <f t="shared" ref="S41" si="48">+R41/N41</f>
        <v>88810.024666666679</v>
      </c>
      <c r="T41" s="112">
        <f t="shared" si="11"/>
        <v>44405.012333333339</v>
      </c>
      <c r="U41" s="112">
        <f t="shared" si="8"/>
        <v>7400.8353888888896</v>
      </c>
      <c r="V41" s="154">
        <f t="shared" si="9"/>
        <v>22202.50616666667</v>
      </c>
    </row>
    <row r="42" spans="1:22" x14ac:dyDescent="0.25">
      <c r="A42" s="107">
        <v>3210</v>
      </c>
      <c r="B42" s="49" t="s">
        <v>72</v>
      </c>
      <c r="C42" s="36">
        <v>66807.176500000016</v>
      </c>
      <c r="D42" s="106">
        <f>+[1]Hoja1!C43</f>
        <v>71014.321200000006</v>
      </c>
      <c r="E42" s="117">
        <f t="shared" si="2"/>
        <v>137821.49770000001</v>
      </c>
      <c r="F42" s="118">
        <v>130675.52</v>
      </c>
      <c r="G42" s="118">
        <v>57807.94</v>
      </c>
      <c r="H42" s="118">
        <v>54627.06</v>
      </c>
      <c r="I42" s="118">
        <v>47862.23</v>
      </c>
      <c r="J42" s="130">
        <v>44442.94</v>
      </c>
      <c r="K42" s="140">
        <f>+E42</f>
        <v>137821.49770000001</v>
      </c>
      <c r="L42" s="141">
        <f t="shared" si="41"/>
        <v>68910.748850000004</v>
      </c>
      <c r="M42" s="142">
        <f t="shared" si="3"/>
        <v>11485.124808333334</v>
      </c>
      <c r="N42" s="142">
        <v>6</v>
      </c>
      <c r="O42" s="148">
        <f t="shared" si="4"/>
        <v>68910.748850000004</v>
      </c>
      <c r="P42" s="142">
        <f t="shared" si="5"/>
        <v>13437.596025750001</v>
      </c>
      <c r="Q42" s="164">
        <f t="shared" si="6"/>
        <v>55473.152824250006</v>
      </c>
      <c r="R42" s="153">
        <f t="shared" si="7"/>
        <v>473237.18770000001</v>
      </c>
      <c r="S42" s="112">
        <f t="shared" ref="S42" si="49">+R42/6</f>
        <v>78872.864616666673</v>
      </c>
      <c r="T42" s="112">
        <f t="shared" si="11"/>
        <v>39436.432308333337</v>
      </c>
      <c r="U42" s="112">
        <f t="shared" si="8"/>
        <v>6572.7387180555561</v>
      </c>
      <c r="V42" s="154">
        <f t="shared" si="9"/>
        <v>39436.432308333337</v>
      </c>
    </row>
    <row r="43" spans="1:22" x14ac:dyDescent="0.25">
      <c r="A43" s="108">
        <v>3212</v>
      </c>
      <c r="B43" s="49" t="s">
        <v>81</v>
      </c>
      <c r="C43" s="36">
        <v>68452.378840000005</v>
      </c>
      <c r="D43" s="106">
        <f>+[1]Hoja1!C44</f>
        <v>84429.292840000009</v>
      </c>
      <c r="E43" s="117">
        <f t="shared" si="2"/>
        <v>152881.67168000003</v>
      </c>
      <c r="F43" s="118">
        <v>131892.68</v>
      </c>
      <c r="G43" s="118">
        <v>32507.66</v>
      </c>
      <c r="H43" s="118">
        <v>0</v>
      </c>
      <c r="I43" s="118">
        <v>0</v>
      </c>
      <c r="J43" s="130">
        <v>0</v>
      </c>
      <c r="K43" s="140">
        <f>+E43</f>
        <v>152881.67168000003</v>
      </c>
      <c r="L43" s="141">
        <f t="shared" si="41"/>
        <v>76440.835840000014</v>
      </c>
      <c r="M43" s="142">
        <f t="shared" si="3"/>
        <v>12740.13930666667</v>
      </c>
      <c r="N43" s="142">
        <v>3</v>
      </c>
      <c r="O43" s="148">
        <f t="shared" si="4"/>
        <v>38220.417920000007</v>
      </c>
      <c r="P43" s="142">
        <f t="shared" si="5"/>
        <v>7452.9814944000018</v>
      </c>
      <c r="Q43" s="164">
        <f t="shared" si="6"/>
        <v>30767.436425600004</v>
      </c>
      <c r="R43" s="153">
        <f t="shared" si="7"/>
        <v>317282.01168</v>
      </c>
      <c r="S43" s="112">
        <f t="shared" ref="S43" si="50">+R43/N43</f>
        <v>105760.67056</v>
      </c>
      <c r="T43" s="112">
        <f t="shared" si="11"/>
        <v>52880.335279999999</v>
      </c>
      <c r="U43" s="112">
        <f t="shared" si="8"/>
        <v>8813.3892133333338</v>
      </c>
      <c r="V43" s="154">
        <f t="shared" si="9"/>
        <v>26440.16764</v>
      </c>
    </row>
    <row r="44" spans="1:22" x14ac:dyDescent="0.25">
      <c r="A44" s="108">
        <v>3213</v>
      </c>
      <c r="B44" s="49" t="s">
        <v>78</v>
      </c>
      <c r="C44" s="36">
        <v>68452.378840000005</v>
      </c>
      <c r="D44" s="106">
        <f>+[1]Hoja1!C45</f>
        <v>84429.292840000009</v>
      </c>
      <c r="E44" s="117">
        <f t="shared" si="2"/>
        <v>152881.67168000003</v>
      </c>
      <c r="F44" s="118">
        <v>131892.68</v>
      </c>
      <c r="G44" s="118">
        <v>29576.73</v>
      </c>
      <c r="H44" s="118">
        <v>0</v>
      </c>
      <c r="I44" s="118">
        <v>0</v>
      </c>
      <c r="J44" s="130">
        <v>0</v>
      </c>
      <c r="K44" s="140">
        <f>+E44</f>
        <v>152881.67168000003</v>
      </c>
      <c r="L44" s="141">
        <f t="shared" si="41"/>
        <v>76440.835840000014</v>
      </c>
      <c r="M44" s="142">
        <f t="shared" si="3"/>
        <v>12740.13930666667</v>
      </c>
      <c r="N44" s="142">
        <v>3</v>
      </c>
      <c r="O44" s="148">
        <f t="shared" si="4"/>
        <v>38220.417920000007</v>
      </c>
      <c r="P44" s="142">
        <f t="shared" si="5"/>
        <v>7452.9814944000018</v>
      </c>
      <c r="Q44" s="164">
        <f t="shared" si="6"/>
        <v>30767.436425600004</v>
      </c>
      <c r="R44" s="153">
        <f t="shared" si="7"/>
        <v>314351.08168</v>
      </c>
      <c r="S44" s="112">
        <f t="shared" ref="S44" si="51">+R44/6</f>
        <v>52391.846946666665</v>
      </c>
      <c r="T44" s="112">
        <f t="shared" si="11"/>
        <v>26195.923473333332</v>
      </c>
      <c r="U44" s="112">
        <f t="shared" si="8"/>
        <v>4365.9872455555551</v>
      </c>
      <c r="V44" s="154">
        <f t="shared" si="9"/>
        <v>13097.961736666664</v>
      </c>
    </row>
    <row r="45" spans="1:22" x14ac:dyDescent="0.25">
      <c r="A45" s="108">
        <v>3214</v>
      </c>
      <c r="B45" s="49" t="s">
        <v>79</v>
      </c>
      <c r="C45" s="36">
        <v>60284.329820000006</v>
      </c>
      <c r="D45" s="106">
        <f>+[1]Hoja1!C46</f>
        <v>65590.332599999994</v>
      </c>
      <c r="E45" s="117">
        <f t="shared" si="2"/>
        <v>125874.66242000001</v>
      </c>
      <c r="F45" s="118">
        <v>133968.54</v>
      </c>
      <c r="G45" s="118">
        <v>36443.040000000001</v>
      </c>
      <c r="H45" s="118">
        <v>0</v>
      </c>
      <c r="I45" s="118">
        <v>0</v>
      </c>
      <c r="J45" s="130">
        <v>0</v>
      </c>
      <c r="K45" s="140">
        <f>+F45</f>
        <v>133968.54</v>
      </c>
      <c r="L45" s="141">
        <f t="shared" si="41"/>
        <v>66984.27</v>
      </c>
      <c r="M45" s="142">
        <f t="shared" si="3"/>
        <v>11164.045</v>
      </c>
      <c r="N45" s="142">
        <v>3</v>
      </c>
      <c r="O45" s="148">
        <f t="shared" si="4"/>
        <v>33492.135000000002</v>
      </c>
      <c r="P45" s="142">
        <f t="shared" si="5"/>
        <v>6530.9663250000003</v>
      </c>
      <c r="Q45" s="164">
        <f t="shared" si="6"/>
        <v>26961.168675000001</v>
      </c>
      <c r="R45" s="153">
        <f t="shared" si="7"/>
        <v>296286.24242000002</v>
      </c>
      <c r="S45" s="112">
        <f t="shared" ref="S45" si="52">+R45/N45</f>
        <v>98762.08080666668</v>
      </c>
      <c r="T45" s="112">
        <f t="shared" si="11"/>
        <v>49381.04040333334</v>
      </c>
      <c r="U45" s="112">
        <f t="shared" si="8"/>
        <v>8230.1734005555572</v>
      </c>
      <c r="V45" s="154">
        <f t="shared" si="9"/>
        <v>24690.520201666674</v>
      </c>
    </row>
    <row r="46" spans="1:22" x14ac:dyDescent="0.25">
      <c r="A46" s="108">
        <v>3215</v>
      </c>
      <c r="B46" s="49" t="s">
        <v>80</v>
      </c>
      <c r="C46" s="36">
        <v>68452.378840000005</v>
      </c>
      <c r="D46" s="106">
        <f>+[1]Hoja1!C47</f>
        <v>70197.796480000019</v>
      </c>
      <c r="E46" s="117">
        <f t="shared" si="2"/>
        <v>138650.17532000004</v>
      </c>
      <c r="F46" s="118">
        <v>103302.3</v>
      </c>
      <c r="G46" s="118">
        <v>34911.370000000003</v>
      </c>
      <c r="H46" s="118">
        <v>0</v>
      </c>
      <c r="I46" s="118">
        <v>0</v>
      </c>
      <c r="J46" s="130">
        <v>0</v>
      </c>
      <c r="K46" s="140">
        <f>+E46</f>
        <v>138650.17532000004</v>
      </c>
      <c r="L46" s="141">
        <f t="shared" si="41"/>
        <v>69325.087660000019</v>
      </c>
      <c r="M46" s="142">
        <f t="shared" si="3"/>
        <v>11554.18127666667</v>
      </c>
      <c r="N46" s="142">
        <v>3</v>
      </c>
      <c r="O46" s="148">
        <f t="shared" si="4"/>
        <v>34662.54383000001</v>
      </c>
      <c r="P46" s="142">
        <f t="shared" si="5"/>
        <v>6759.1960468500019</v>
      </c>
      <c r="Q46" s="164">
        <f t="shared" si="6"/>
        <v>27903.347783150006</v>
      </c>
      <c r="R46" s="153">
        <f t="shared" si="7"/>
        <v>276863.84532000002</v>
      </c>
      <c r="S46" s="112">
        <f t="shared" ref="S46" si="53">+R46/6</f>
        <v>46143.974220000004</v>
      </c>
      <c r="T46" s="112">
        <f t="shared" si="11"/>
        <v>23071.987110000002</v>
      </c>
      <c r="U46" s="112">
        <f t="shared" si="8"/>
        <v>3845.3311850000005</v>
      </c>
      <c r="V46" s="154">
        <f t="shared" si="9"/>
        <v>11535.993555000001</v>
      </c>
    </row>
    <row r="47" spans="1:22" x14ac:dyDescent="0.25">
      <c r="A47" s="108">
        <v>3216</v>
      </c>
      <c r="B47" s="49" t="s">
        <v>82</v>
      </c>
      <c r="C47" s="36">
        <v>62195.921719999991</v>
      </c>
      <c r="D47" s="106">
        <f>+[1]Hoja1!C48</f>
        <v>74335.710279999999</v>
      </c>
      <c r="E47" s="117">
        <f t="shared" si="2"/>
        <v>136531.63199999998</v>
      </c>
      <c r="F47" s="118">
        <v>105674.68</v>
      </c>
      <c r="G47" s="118">
        <v>30494.95</v>
      </c>
      <c r="H47" s="118">
        <v>0</v>
      </c>
      <c r="I47" s="118">
        <v>0</v>
      </c>
      <c r="J47" s="130">
        <v>0</v>
      </c>
      <c r="K47" s="140">
        <f t="shared" ref="K47:K48" si="54">+E47</f>
        <v>136531.63199999998</v>
      </c>
      <c r="L47" s="141">
        <f t="shared" si="41"/>
        <v>68265.815999999992</v>
      </c>
      <c r="M47" s="142">
        <f t="shared" si="3"/>
        <v>11377.635999999999</v>
      </c>
      <c r="N47" s="142">
        <v>3</v>
      </c>
      <c r="O47" s="148">
        <f t="shared" si="4"/>
        <v>34132.907999999996</v>
      </c>
      <c r="P47" s="142">
        <f t="shared" si="5"/>
        <v>6655.9170599999998</v>
      </c>
      <c r="Q47" s="164">
        <f t="shared" si="6"/>
        <v>27476.990939999996</v>
      </c>
      <c r="R47" s="153">
        <f t="shared" si="7"/>
        <v>272701.26199999999</v>
      </c>
      <c r="S47" s="112">
        <f t="shared" ref="S47" si="55">+R47/N47</f>
        <v>90900.420666666658</v>
      </c>
      <c r="T47" s="112">
        <f t="shared" si="11"/>
        <v>45450.210333333329</v>
      </c>
      <c r="U47" s="112">
        <f t="shared" si="8"/>
        <v>7575.0350555555551</v>
      </c>
      <c r="V47" s="154">
        <f t="shared" si="9"/>
        <v>22725.105166666664</v>
      </c>
    </row>
    <row r="48" spans="1:22" x14ac:dyDescent="0.25">
      <c r="A48" s="108">
        <v>3217</v>
      </c>
      <c r="B48" s="49" t="s">
        <v>83</v>
      </c>
      <c r="C48" s="36">
        <v>68452.378840000005</v>
      </c>
      <c r="D48" s="106">
        <f>+[1]Hoja1!C49</f>
        <v>79084.520010000007</v>
      </c>
      <c r="E48" s="117">
        <f t="shared" si="2"/>
        <v>147536.89885</v>
      </c>
      <c r="F48" s="118">
        <v>134527.32</v>
      </c>
      <c r="G48" s="118">
        <v>33088.93</v>
      </c>
      <c r="H48" s="118">
        <v>0</v>
      </c>
      <c r="I48" s="118">
        <v>0</v>
      </c>
      <c r="J48" s="130">
        <v>0</v>
      </c>
      <c r="K48" s="140">
        <f t="shared" si="54"/>
        <v>147536.89885</v>
      </c>
      <c r="L48" s="141">
        <f t="shared" si="41"/>
        <v>73768.449424999999</v>
      </c>
      <c r="M48" s="142">
        <f t="shared" si="3"/>
        <v>12294.741570833334</v>
      </c>
      <c r="N48" s="142">
        <v>3</v>
      </c>
      <c r="O48" s="148">
        <f t="shared" si="4"/>
        <v>36884.224712499999</v>
      </c>
      <c r="P48" s="142">
        <f t="shared" si="5"/>
        <v>7192.4238189375001</v>
      </c>
      <c r="Q48" s="164">
        <f t="shared" si="6"/>
        <v>29691.8008935625</v>
      </c>
      <c r="R48" s="153">
        <f t="shared" si="7"/>
        <v>315153.14885</v>
      </c>
      <c r="S48" s="112">
        <f t="shared" ref="S48" si="56">+R48/6</f>
        <v>52525.524808333335</v>
      </c>
      <c r="T48" s="112">
        <f t="shared" si="11"/>
        <v>26262.762404166668</v>
      </c>
      <c r="U48" s="112">
        <f t="shared" si="8"/>
        <v>4377.1270673611116</v>
      </c>
      <c r="V48" s="154">
        <f t="shared" si="9"/>
        <v>13131.381202083336</v>
      </c>
    </row>
    <row r="49" spans="1:22" x14ac:dyDescent="0.25">
      <c r="A49" s="108">
        <v>3218</v>
      </c>
      <c r="B49" s="49" t="s">
        <v>84</v>
      </c>
      <c r="C49" s="36">
        <v>57234.601690000003</v>
      </c>
      <c r="D49" s="106">
        <f>+[1]Hoja1!C50</f>
        <v>56844.954919999996</v>
      </c>
      <c r="E49" s="117">
        <f t="shared" si="2"/>
        <v>114079.55661</v>
      </c>
      <c r="F49" s="118">
        <v>118946.23</v>
      </c>
      <c r="G49" s="118">
        <v>40506.65</v>
      </c>
      <c r="H49" s="118">
        <v>0</v>
      </c>
      <c r="I49" s="118">
        <v>0</v>
      </c>
      <c r="J49" s="130">
        <v>0</v>
      </c>
      <c r="K49" s="140">
        <f>+F49</f>
        <v>118946.23</v>
      </c>
      <c r="L49" s="141">
        <f t="shared" si="41"/>
        <v>59473.114999999998</v>
      </c>
      <c r="M49" s="142">
        <f t="shared" si="3"/>
        <v>9912.185833333333</v>
      </c>
      <c r="N49" s="142">
        <v>3</v>
      </c>
      <c r="O49" s="148">
        <f t="shared" si="4"/>
        <v>29736.557499999999</v>
      </c>
      <c r="P49" s="142">
        <f t="shared" si="5"/>
        <v>5798.6287124999999</v>
      </c>
      <c r="Q49" s="164">
        <f t="shared" si="6"/>
        <v>23937.928787500001</v>
      </c>
      <c r="R49" s="153">
        <f t="shared" si="7"/>
        <v>273532.43661000003</v>
      </c>
      <c r="S49" s="112">
        <f t="shared" ref="S49" si="57">+R49/N49</f>
        <v>91177.478870000006</v>
      </c>
      <c r="T49" s="112">
        <f t="shared" si="11"/>
        <v>45588.739435000003</v>
      </c>
      <c r="U49" s="112">
        <f t="shared" si="8"/>
        <v>7598.1232391666672</v>
      </c>
      <c r="V49" s="154">
        <f t="shared" si="9"/>
        <v>22794.369717500002</v>
      </c>
    </row>
    <row r="50" spans="1:22" x14ac:dyDescent="0.25">
      <c r="A50" s="107">
        <v>3219</v>
      </c>
      <c r="B50" s="49" t="s">
        <v>90</v>
      </c>
      <c r="C50" s="36">
        <v>68046.005000000005</v>
      </c>
      <c r="D50" s="106">
        <f>+[1]Hoja1!C51</f>
        <v>81381.503000000012</v>
      </c>
      <c r="E50" s="117">
        <f t="shared" si="2"/>
        <v>149427.50800000003</v>
      </c>
      <c r="F50" s="118">
        <v>127067.93</v>
      </c>
      <c r="G50" s="118">
        <v>59016.69</v>
      </c>
      <c r="H50" s="118">
        <v>0</v>
      </c>
      <c r="I50" s="118">
        <v>0</v>
      </c>
      <c r="J50" s="130">
        <v>0</v>
      </c>
      <c r="K50" s="140">
        <f>+E50</f>
        <v>149427.50800000003</v>
      </c>
      <c r="L50" s="141">
        <f t="shared" si="41"/>
        <v>74713.754000000015</v>
      </c>
      <c r="M50" s="142">
        <f t="shared" si="3"/>
        <v>12452.292333333337</v>
      </c>
      <c r="N50" s="142">
        <v>3</v>
      </c>
      <c r="O50" s="148">
        <f t="shared" si="4"/>
        <v>37356.877000000008</v>
      </c>
      <c r="P50" s="142">
        <f t="shared" si="5"/>
        <v>7284.5910150000018</v>
      </c>
      <c r="Q50" s="164">
        <f t="shared" si="6"/>
        <v>30072.285985000006</v>
      </c>
      <c r="R50" s="153">
        <f t="shared" si="7"/>
        <v>335512.12800000003</v>
      </c>
      <c r="S50" s="112">
        <f t="shared" ref="S50" si="58">+R50/6</f>
        <v>55918.688000000002</v>
      </c>
      <c r="T50" s="112">
        <f t="shared" si="11"/>
        <v>27959.344000000001</v>
      </c>
      <c r="U50" s="112">
        <f t="shared" si="8"/>
        <v>4659.8906666666671</v>
      </c>
      <c r="V50" s="154">
        <f t="shared" si="9"/>
        <v>13979.672000000002</v>
      </c>
    </row>
    <row r="51" spans="1:22" x14ac:dyDescent="0.25">
      <c r="A51" s="107">
        <v>3220</v>
      </c>
      <c r="B51" s="49" t="s">
        <v>94</v>
      </c>
      <c r="C51" s="36">
        <v>62450.303799999994</v>
      </c>
      <c r="D51" s="106">
        <f>+[1]Hoja1!C52</f>
        <v>73018.090599999996</v>
      </c>
      <c r="E51" s="117">
        <f t="shared" si="2"/>
        <v>135468.39439999999</v>
      </c>
      <c r="F51" s="118">
        <v>57327.97</v>
      </c>
      <c r="G51" s="118"/>
      <c r="H51" s="118"/>
      <c r="I51" s="118"/>
      <c r="J51" s="130"/>
      <c r="K51" s="140">
        <f>+E51</f>
        <v>135468.39439999999</v>
      </c>
      <c r="L51" s="141">
        <f t="shared" si="41"/>
        <v>67734.197199999995</v>
      </c>
      <c r="M51" s="142">
        <f t="shared" si="3"/>
        <v>11289.032866666666</v>
      </c>
      <c r="N51" s="142">
        <v>2</v>
      </c>
      <c r="O51" s="148">
        <f t="shared" si="4"/>
        <v>22578.065733333333</v>
      </c>
      <c r="P51" s="142">
        <f t="shared" si="5"/>
        <v>4402.7228180000002</v>
      </c>
      <c r="Q51" s="164">
        <f t="shared" si="6"/>
        <v>18175.342915333335</v>
      </c>
      <c r="R51" s="153">
        <f t="shared" si="7"/>
        <v>192796.36439999999</v>
      </c>
      <c r="S51" s="112">
        <f t="shared" ref="S51" si="59">+R51/N51</f>
        <v>96398.182199999996</v>
      </c>
      <c r="T51" s="112">
        <f t="shared" si="11"/>
        <v>48199.091099999998</v>
      </c>
      <c r="U51" s="112">
        <f t="shared" si="8"/>
        <v>8033.1818499999999</v>
      </c>
      <c r="V51" s="154">
        <f t="shared" si="9"/>
        <v>16066.3637</v>
      </c>
    </row>
    <row r="52" spans="1:22" x14ac:dyDescent="0.25">
      <c r="A52" s="107">
        <v>3221</v>
      </c>
      <c r="B52" s="49" t="s">
        <v>95</v>
      </c>
      <c r="C52" s="36">
        <v>58815.919199999997</v>
      </c>
      <c r="D52" s="106">
        <f>+[1]Hoja1!C53</f>
        <v>78304.468199999988</v>
      </c>
      <c r="E52" s="117">
        <f t="shared" si="2"/>
        <v>137120.38739999998</v>
      </c>
      <c r="F52" s="118">
        <v>58333.5</v>
      </c>
      <c r="G52" s="118"/>
      <c r="H52" s="118"/>
      <c r="I52" s="118"/>
      <c r="J52" s="130"/>
      <c r="K52" s="140">
        <f t="shared" ref="K52:K56" si="60">+E52</f>
        <v>137120.38739999998</v>
      </c>
      <c r="L52" s="141">
        <f t="shared" si="41"/>
        <v>68560.193699999989</v>
      </c>
      <c r="M52" s="142">
        <f t="shared" si="3"/>
        <v>11426.698949999998</v>
      </c>
      <c r="N52" s="142">
        <v>2</v>
      </c>
      <c r="O52" s="148">
        <f t="shared" si="4"/>
        <v>22853.397899999996</v>
      </c>
      <c r="P52" s="142">
        <f t="shared" si="5"/>
        <v>4456.4125904999992</v>
      </c>
      <c r="Q52" s="164">
        <f t="shared" si="6"/>
        <v>18396.985309499996</v>
      </c>
      <c r="R52" s="153">
        <f t="shared" si="7"/>
        <v>195453.88739999998</v>
      </c>
      <c r="S52" s="112">
        <f t="shared" ref="S52" si="61">+R52/6</f>
        <v>32575.647899999996</v>
      </c>
      <c r="T52" s="112">
        <f t="shared" si="11"/>
        <v>16287.823949999998</v>
      </c>
      <c r="U52" s="112">
        <f t="shared" si="8"/>
        <v>2714.6373249999997</v>
      </c>
      <c r="V52" s="154">
        <f t="shared" si="9"/>
        <v>5429.2746499999994</v>
      </c>
    </row>
    <row r="53" spans="1:22" x14ac:dyDescent="0.25">
      <c r="A53" s="107">
        <v>3222</v>
      </c>
      <c r="B53" s="49" t="s">
        <v>96</v>
      </c>
      <c r="C53" s="36">
        <v>62450.303799999994</v>
      </c>
      <c r="D53" s="106">
        <f>+[1]Hoja1!C54</f>
        <v>63684.330150000002</v>
      </c>
      <c r="E53" s="117">
        <f t="shared" si="2"/>
        <v>126134.63394999999</v>
      </c>
      <c r="F53" s="118">
        <v>62642.9</v>
      </c>
      <c r="G53" s="118"/>
      <c r="H53" s="118"/>
      <c r="I53" s="118"/>
      <c r="J53" s="130"/>
      <c r="K53" s="140">
        <f t="shared" si="60"/>
        <v>126134.63394999999</v>
      </c>
      <c r="L53" s="141">
        <f t="shared" si="41"/>
        <v>63067.316974999994</v>
      </c>
      <c r="M53" s="142">
        <f t="shared" si="3"/>
        <v>10511.219495833333</v>
      </c>
      <c r="N53" s="142">
        <v>2</v>
      </c>
      <c r="O53" s="148">
        <f t="shared" si="4"/>
        <v>21022.438991666666</v>
      </c>
      <c r="P53" s="142">
        <f t="shared" si="5"/>
        <v>4099.3756033749996</v>
      </c>
      <c r="Q53" s="164">
        <f t="shared" si="6"/>
        <v>16923.063388291666</v>
      </c>
      <c r="R53" s="153">
        <f t="shared" si="7"/>
        <v>188777.53394999998</v>
      </c>
      <c r="S53" s="112">
        <f t="shared" ref="S53" si="62">+R53/N53</f>
        <v>94388.766974999991</v>
      </c>
      <c r="T53" s="112">
        <f t="shared" si="11"/>
        <v>47194.383487499996</v>
      </c>
      <c r="U53" s="112">
        <f t="shared" si="8"/>
        <v>7865.730581249999</v>
      </c>
      <c r="V53" s="154">
        <f t="shared" si="9"/>
        <v>15731.461162499998</v>
      </c>
    </row>
    <row r="54" spans="1:22" x14ac:dyDescent="0.25">
      <c r="A54" s="107">
        <v>3223</v>
      </c>
      <c r="B54" s="49" t="s">
        <v>97</v>
      </c>
      <c r="C54" s="36">
        <v>64515.295049999993</v>
      </c>
      <c r="D54" s="106">
        <f>+[1]Hoja1!C55</f>
        <v>69383.705999999991</v>
      </c>
      <c r="E54" s="117">
        <f t="shared" si="2"/>
        <v>133899.00104999999</v>
      </c>
      <c r="F54" s="118">
        <v>64653.95</v>
      </c>
      <c r="G54" s="118"/>
      <c r="H54" s="118"/>
      <c r="I54" s="118"/>
      <c r="J54" s="130"/>
      <c r="K54" s="140">
        <f t="shared" si="60"/>
        <v>133899.00104999999</v>
      </c>
      <c r="L54" s="141">
        <f t="shared" si="41"/>
        <v>66949.500524999996</v>
      </c>
      <c r="M54" s="142">
        <f t="shared" si="3"/>
        <v>11158.250087499999</v>
      </c>
      <c r="N54" s="142">
        <v>2</v>
      </c>
      <c r="O54" s="148">
        <f t="shared" si="4"/>
        <v>22316.500174999997</v>
      </c>
      <c r="P54" s="142">
        <f t="shared" si="5"/>
        <v>4351.7175341249995</v>
      </c>
      <c r="Q54" s="164">
        <f t="shared" si="6"/>
        <v>17964.782640874997</v>
      </c>
      <c r="R54" s="153">
        <f t="shared" si="7"/>
        <v>198552.95104999997</v>
      </c>
      <c r="S54" s="112">
        <f t="shared" ref="S54" si="63">+R54/6</f>
        <v>33092.158508333327</v>
      </c>
      <c r="T54" s="112">
        <f t="shared" si="11"/>
        <v>16546.079254166663</v>
      </c>
      <c r="U54" s="112">
        <f t="shared" si="8"/>
        <v>2757.679875694444</v>
      </c>
      <c r="V54" s="154">
        <f t="shared" si="9"/>
        <v>5515.3597513888881</v>
      </c>
    </row>
    <row r="55" spans="1:22" x14ac:dyDescent="0.25">
      <c r="A55" s="107">
        <v>3224</v>
      </c>
      <c r="B55" s="49" t="s">
        <v>98</v>
      </c>
      <c r="C55" s="36">
        <v>53709.646099999998</v>
      </c>
      <c r="D55" s="106">
        <f>+[1]Hoja1!C56</f>
        <v>69383.705999999991</v>
      </c>
      <c r="E55" s="117">
        <f t="shared" si="2"/>
        <v>123093.35209999999</v>
      </c>
      <c r="F55" s="118">
        <v>64653.95</v>
      </c>
      <c r="G55" s="118"/>
      <c r="H55" s="118"/>
      <c r="I55" s="118"/>
      <c r="J55" s="130"/>
      <c r="K55" s="140">
        <f t="shared" si="60"/>
        <v>123093.35209999999</v>
      </c>
      <c r="L55" s="141">
        <f t="shared" si="41"/>
        <v>61546.676049999995</v>
      </c>
      <c r="M55" s="142">
        <f t="shared" si="3"/>
        <v>10257.779341666666</v>
      </c>
      <c r="N55" s="142">
        <v>2</v>
      </c>
      <c r="O55" s="148">
        <f t="shared" si="4"/>
        <v>20515.558683333333</v>
      </c>
      <c r="P55" s="142">
        <f t="shared" si="5"/>
        <v>4000.53394325</v>
      </c>
      <c r="Q55" s="164">
        <f t="shared" si="6"/>
        <v>16515.024740083332</v>
      </c>
      <c r="R55" s="153">
        <f t="shared" si="7"/>
        <v>187747.30209999997</v>
      </c>
      <c r="S55" s="112">
        <f t="shared" ref="S55" si="64">+R55/N55</f>
        <v>93873.651049999986</v>
      </c>
      <c r="T55" s="112">
        <f t="shared" si="11"/>
        <v>46936.825524999993</v>
      </c>
      <c r="U55" s="112">
        <f t="shared" si="8"/>
        <v>7822.8042541666655</v>
      </c>
      <c r="V55" s="154">
        <f t="shared" si="9"/>
        <v>15645.608508333331</v>
      </c>
    </row>
    <row r="56" spans="1:22" ht="15.75" thickBot="1" x14ac:dyDescent="0.3">
      <c r="A56" s="107">
        <v>3225</v>
      </c>
      <c r="B56" s="49" t="s">
        <v>99</v>
      </c>
      <c r="C56" s="36">
        <v>62450.303799999994</v>
      </c>
      <c r="D56" s="106">
        <f>+[1]Hoja1!C57</f>
        <v>73018.090599999996</v>
      </c>
      <c r="E56" s="117">
        <f t="shared" si="2"/>
        <v>135468.39439999999</v>
      </c>
      <c r="F56" s="118">
        <v>44830.720000000001</v>
      </c>
      <c r="G56" s="118"/>
      <c r="H56" s="118"/>
      <c r="I56" s="118"/>
      <c r="J56" s="130"/>
      <c r="K56" s="143">
        <f t="shared" si="60"/>
        <v>135468.39439999999</v>
      </c>
      <c r="L56" s="144">
        <f t="shared" si="41"/>
        <v>67734.197199999995</v>
      </c>
      <c r="M56" s="145">
        <f t="shared" si="3"/>
        <v>11289.032866666666</v>
      </c>
      <c r="N56" s="145">
        <v>2</v>
      </c>
      <c r="O56" s="149">
        <f t="shared" si="4"/>
        <v>22578.065733333333</v>
      </c>
      <c r="P56" s="142">
        <f t="shared" si="5"/>
        <v>4402.7228180000002</v>
      </c>
      <c r="Q56" s="164">
        <f t="shared" si="6"/>
        <v>18175.342915333335</v>
      </c>
      <c r="R56" s="155">
        <f t="shared" si="7"/>
        <v>180299.11439999999</v>
      </c>
      <c r="S56" s="156">
        <f t="shared" ref="S56" si="65">+R56/6</f>
        <v>30049.8524</v>
      </c>
      <c r="T56" s="156">
        <f t="shared" si="11"/>
        <v>15024.9262</v>
      </c>
      <c r="U56" s="156">
        <f t="shared" si="8"/>
        <v>2504.1543666666666</v>
      </c>
      <c r="V56" s="157">
        <f t="shared" si="9"/>
        <v>5008.3087333333333</v>
      </c>
    </row>
    <row r="57" spans="1:22" x14ac:dyDescent="0.25">
      <c r="P57" s="142">
        <f t="shared" si="5"/>
        <v>0</v>
      </c>
      <c r="Q57" s="164">
        <f t="shared" si="6"/>
        <v>0</v>
      </c>
    </row>
  </sheetData>
  <mergeCells count="3">
    <mergeCell ref="C1:C2"/>
    <mergeCell ref="K1:O1"/>
    <mergeCell ref="R1:V1"/>
  </mergeCells>
  <pageMargins left="0.7" right="0.7" top="0.75" bottom="0.75" header="0.3" footer="0.3"/>
  <pageSetup paperSize="9" scale="64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DETERMINACION</vt:lpstr>
      <vt:lpstr>NO REM.</vt:lpstr>
      <vt:lpstr>Hoja1</vt:lpstr>
      <vt:lpstr>SAC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pinedo</dc:creator>
  <cp:lastModifiedBy>Usuario</cp:lastModifiedBy>
  <cp:lastPrinted>2021-07-06T11:46:26Z</cp:lastPrinted>
  <dcterms:created xsi:type="dcterms:W3CDTF">2018-05-16T12:12:38Z</dcterms:created>
  <dcterms:modified xsi:type="dcterms:W3CDTF">2021-08-06T01:14:47Z</dcterms:modified>
</cp:coreProperties>
</file>